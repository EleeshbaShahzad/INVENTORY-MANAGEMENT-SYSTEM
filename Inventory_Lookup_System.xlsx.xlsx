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Microsoft\Desktop\EXCEL\INVENTORY SYSTEM\"/>
    </mc:Choice>
  </mc:AlternateContent>
  <xr:revisionPtr revIDLastSave="0" documentId="13_ncr:1_{976586A5-BEF9-4163-BB1F-D71E1FEAA878}" xr6:coauthVersionLast="36" xr6:coauthVersionMax="36" xr10:uidLastSave="{00000000-0000-0000-0000-000000000000}"/>
  <bookViews>
    <workbookView xWindow="0" yWindow="0" windowWidth="17256" windowHeight="6636" activeTab="2" xr2:uid="{00000000-000D-0000-FFFF-FFFF00000000}"/>
  </bookViews>
  <sheets>
    <sheet name="Inventory_Data" sheetId="1" r:id="rId1"/>
    <sheet name="Raw Data" sheetId="4" r:id="rId2"/>
    <sheet name="Dashboard" sheetId="6" r:id="rId3"/>
  </sheets>
  <definedNames>
    <definedName name="Slicer_Category">#N/A</definedName>
    <definedName name="Slicer_Category1">#N/A</definedName>
    <definedName name="Slicer_Price">#N/A</definedName>
    <definedName name="Slicer_Price1">#N/A</definedName>
    <definedName name="Slicer_Product">#N/A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4" i="6" l="1"/>
  <c r="G4" i="6"/>
  <c r="E4" i="6"/>
  <c r="D4" i="6"/>
  <c r="I2" i="1" l="1"/>
  <c r="I3" i="1"/>
  <c r="I4" i="1"/>
  <c r="I5" i="1"/>
  <c r="I6" i="1"/>
</calcChain>
</file>

<file path=xl/sharedStrings.xml><?xml version="1.0" encoding="utf-8"?>
<sst xmlns="http://schemas.openxmlformats.org/spreadsheetml/2006/main" count="3061" uniqueCount="46">
  <si>
    <t>Product ID</t>
  </si>
  <si>
    <t>Product</t>
  </si>
  <si>
    <t>Price</t>
  </si>
  <si>
    <t>Stock</t>
  </si>
  <si>
    <t>Category</t>
  </si>
  <si>
    <t>Supplier</t>
  </si>
  <si>
    <t>SSD</t>
  </si>
  <si>
    <t>Computers</t>
  </si>
  <si>
    <t>Dell</t>
  </si>
  <si>
    <t>Laptop</t>
  </si>
  <si>
    <t>Accessories</t>
  </si>
  <si>
    <t>Lenovo</t>
  </si>
  <si>
    <t>Printer</t>
  </si>
  <si>
    <t>Display</t>
  </si>
  <si>
    <t>HP</t>
  </si>
  <si>
    <t>Monitor</t>
  </si>
  <si>
    <t>Audio</t>
  </si>
  <si>
    <t>Canon</t>
  </si>
  <si>
    <t>Headphones</t>
  </si>
  <si>
    <t>Memory</t>
  </si>
  <si>
    <t>Sony</t>
  </si>
  <si>
    <t>Webcam</t>
  </si>
  <si>
    <t>Office</t>
  </si>
  <si>
    <t>Logitech</t>
  </si>
  <si>
    <t>RAM</t>
  </si>
  <si>
    <t>Keyboard</t>
  </si>
  <si>
    <t>Camera</t>
  </si>
  <si>
    <t>Networking</t>
  </si>
  <si>
    <t>Mouse</t>
  </si>
  <si>
    <t>Samsung</t>
  </si>
  <si>
    <t>Corsair</t>
  </si>
  <si>
    <t>Router</t>
  </si>
  <si>
    <t>TP-Link</t>
  </si>
  <si>
    <t>Kingston</t>
  </si>
  <si>
    <t>Storage</t>
  </si>
  <si>
    <t xml:space="preserve">Product ID </t>
  </si>
  <si>
    <t>Average Price</t>
  </si>
  <si>
    <t>Row Labels</t>
  </si>
  <si>
    <t>(blank)</t>
  </si>
  <si>
    <t>Grand Total</t>
  </si>
  <si>
    <t>Column Labels</t>
  </si>
  <si>
    <t>Sum of Price</t>
  </si>
  <si>
    <t>Total Sales</t>
  </si>
  <si>
    <t>Highest Category Sales</t>
  </si>
  <si>
    <t>Top Category  Sales</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</si>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</sst>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4" x14ac:knownFonts="1">
    <font>
      <sz val="11"/>
      <color theme="1"/>
      <name val="Calibri"/>
      <family val="2"/>
      <scheme val="minor"/>
    </font>
    <font>
      <sz val="11"/>
      <color theme="1"/>
      <name val="Calibri"/>
      <family val="2"/>
      <scheme val="minor"/>
    </font>
    <font>
      <b/>
      <sz val="11"/>
      <name val="Calibri"/>
      <family val="2"/>
    </font>
    <font>
      <sz val="11"/>
      <color theme="0"/>
      <name val="Calibri"/>
      <family val="2"/>
      <scheme val="minor"/>
    </font>
  </fonts>
  <fills count="6">
    <fill>
      <patternFill patternType="none"/>
    </fill>
    <fill>
      <patternFill patternType="gray125"/>
    </fill>
    <fill>
      <patternFill patternType="solid">
        <fgColor theme="8"/>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4" borderId="1" xfId="0" applyFont="1" applyFill="1" applyBorder="1"/>
    <xf numFmtId="0" fontId="0" fillId="4" borderId="2" xfId="0" applyFont="1" applyFill="1" applyBorder="1"/>
    <xf numFmtId="44" fontId="0" fillId="0" borderId="0" xfId="1" applyFont="1"/>
    <xf numFmtId="0" fontId="0" fillId="4" borderId="3" xfId="0" applyFont="1" applyFill="1" applyBorder="1"/>
    <xf numFmtId="0" fontId="0" fillId="4" borderId="4" xfId="0" applyFont="1" applyFill="1" applyBorder="1"/>
    <xf numFmtId="0" fontId="2" fillId="2" borderId="4" xfId="0" applyFont="1" applyFill="1" applyBorder="1" applyAlignment="1">
      <alignment horizontal="center"/>
    </xf>
    <xf numFmtId="44" fontId="2" fillId="2" borderId="4" xfId="1" applyNumberFormat="1" applyFont="1" applyFill="1" applyBorder="1" applyAlignment="1">
      <alignment horizontal="center"/>
    </xf>
    <xf numFmtId="0" fontId="2" fillId="2" borderId="3" xfId="0" applyFont="1" applyFill="1" applyBorder="1" applyAlignment="1">
      <alignment horizontal="center"/>
    </xf>
    <xf numFmtId="0" fontId="0" fillId="3" borderId="4" xfId="0" applyFont="1" applyFill="1" applyBorder="1"/>
    <xf numFmtId="44" fontId="0" fillId="3" borderId="4" xfId="1" applyNumberFormat="1" applyFont="1" applyFill="1" applyBorder="1"/>
    <xf numFmtId="0" fontId="0" fillId="3" borderId="3" xfId="0" applyFont="1" applyFill="1" applyBorder="1"/>
    <xf numFmtId="44" fontId="0" fillId="4" borderId="4" xfId="1" applyNumberFormat="1" applyFont="1" applyFill="1" applyBorder="1"/>
    <xf numFmtId="44" fontId="0" fillId="4" borderId="2" xfId="1" applyNumberFormat="1" applyFont="1" applyFill="1"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0" fontId="0" fillId="0" borderId="0" xfId="0" applyNumberFormat="1"/>
    <xf numFmtId="0" fontId="3" fillId="5" borderId="1" xfId="0" applyFont="1" applyFill="1" applyBorder="1"/>
    <xf numFmtId="9" fontId="3" fillId="5" borderId="1" xfId="2" applyFont="1" applyFill="1" applyBorder="1"/>
    <xf numFmtId="9" fontId="3" fillId="5" borderId="1" xfId="0" applyNumberFormat="1" applyFont="1" applyFill="1" applyBorder="1"/>
    <xf numFmtId="164" fontId="3" fillId="5" borderId="1" xfId="0" applyNumberFormat="1" applyFont="1" applyFill="1" applyBorder="1"/>
  </cellXfs>
  <cellStyles count="3">
    <cellStyle name="Currency" xfId="1" builtinId="4"/>
    <cellStyle name="Normal" xfId="0" builtinId="0"/>
    <cellStyle name="Percent" xfId="2" builtinId="5"/>
  </cellStyles>
  <dxfs count="8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006100"/>
      </font>
      <fill>
        <patternFill>
          <bgColor rgb="FFC6EFCE"/>
        </patternFill>
      </fill>
    </dxf>
    <dxf>
      <font>
        <color rgb="FF9C0006"/>
      </font>
      <fill>
        <patternFill>
          <bgColor rgb="FFFFC7CE"/>
        </patternFill>
      </fill>
    </dxf>
    <dxf>
      <numFmt numFmtId="13" formatCode="0%"/>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[Inventory_Lookup_System.xlsx.xlsx]Dashboard!PivotTable1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a:t>
            </a:r>
            <a:r>
              <a:rPr lang="en-US" baseline="0"/>
              <a:t> CHART</a:t>
            </a:r>
          </a:p>
          <a:p>
            <a:pPr>
              <a:defRPr/>
            </a:pPr>
            <a:endParaRPr lang="en-US"/>
          </a:p>
        </c:rich>
      </c:tx>
      <c:layout>
        <c:manualLayout>
          <c:xMode val="edge"/>
          <c:yMode val="edge"/>
          <c:x val="0.46694368045577794"/>
          <c:y val="3.50841433521052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323701367772717"/>
          <c:y val="0.14782923965062159"/>
          <c:w val="0.43753668482788138"/>
          <c:h val="0.75657073094687766"/>
        </c:manualLayout>
      </c:layout>
      <c:bar3DChart>
        <c:barDir val="bar"/>
        <c:grouping val="percentStacked"/>
        <c:varyColors val="0"/>
        <c:ser>
          <c:idx val="0"/>
          <c:order val="0"/>
          <c:tx>
            <c:strRef>
              <c:f>Dashboard!$B$33:$B$34</c:f>
              <c:strCache>
                <c:ptCount val="1"/>
                <c:pt idx="0">
                  <c:v>Accessories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Dashboard!$B$35:$B$46</c:f>
              <c:numCache>
                <c:formatCode>0%</c:formatCode>
                <c:ptCount val="11"/>
                <c:pt idx="0">
                  <c:v>560185</c:v>
                </c:pt>
                <c:pt idx="1">
                  <c:v>1177576</c:v>
                </c:pt>
                <c:pt idx="2">
                  <c:v>1010737</c:v>
                </c:pt>
                <c:pt idx="3">
                  <c:v>859496</c:v>
                </c:pt>
                <c:pt idx="4">
                  <c:v>217850</c:v>
                </c:pt>
                <c:pt idx="5">
                  <c:v>531182</c:v>
                </c:pt>
                <c:pt idx="6">
                  <c:v>1175653</c:v>
                </c:pt>
                <c:pt idx="7">
                  <c:v>752561</c:v>
                </c:pt>
                <c:pt idx="8">
                  <c:v>671402</c:v>
                </c:pt>
                <c:pt idx="9">
                  <c:v>450984</c:v>
                </c:pt>
              </c:numCache>
            </c:numRef>
          </c:val>
          <c:extLst>
            <c:ext xmlns:c16="http://schemas.microsoft.com/office/drawing/2014/chart" uri="{C3380CC4-5D6E-409C-BE32-E72D297353CC}">
              <c16:uniqueId val="{00000000-C3EE-474D-842F-554263DA1921}"/>
            </c:ext>
          </c:extLst>
        </c:ser>
        <c:ser>
          <c:idx val="1"/>
          <c:order val="1"/>
          <c:tx>
            <c:strRef>
              <c:f>Dashboard!$C$33:$C$34</c:f>
              <c:strCache>
                <c:ptCount val="1"/>
                <c:pt idx="0">
                  <c:v>Label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Dashboard!$C$35:$C$46</c:f>
              <c:numCache>
                <c:formatCode>0%</c:formatCode>
                <c:ptCount val="11"/>
                <c:pt idx="0">
                  <c:v>60393</c:v>
                </c:pt>
                <c:pt idx="1">
                  <c:v>108470</c:v>
                </c:pt>
                <c:pt idx="2">
                  <c:v>646018</c:v>
                </c:pt>
                <c:pt idx="3">
                  <c:v>879359</c:v>
                </c:pt>
                <c:pt idx="4">
                  <c:v>499661</c:v>
                </c:pt>
                <c:pt idx="5">
                  <c:v>235126</c:v>
                </c:pt>
                <c:pt idx="6">
                  <c:v>869637</c:v>
                </c:pt>
                <c:pt idx="7">
                  <c:v>766482</c:v>
                </c:pt>
                <c:pt idx="8">
                  <c:v>551759</c:v>
                </c:pt>
                <c:pt idx="9">
                  <c:v>718345</c:v>
                </c:pt>
              </c:numCache>
            </c:numRef>
          </c:val>
          <c:extLst>
            <c:ext xmlns:c16="http://schemas.microsoft.com/office/drawing/2014/chart" uri="{C3380CC4-5D6E-409C-BE32-E72D297353CC}">
              <c16:uniqueId val="{0000001A-C3EE-474D-842F-554263DA1921}"/>
            </c:ext>
          </c:extLst>
        </c:ser>
        <c:ser>
          <c:idx val="2"/>
          <c:order val="2"/>
          <c:tx>
            <c:strRef>
              <c:f>Dashboard!$D$33:$D$34</c:f>
              <c:strCache>
                <c:ptCount val="1"/>
                <c:pt idx="0">
                  <c:v>Camera</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Dashboard!$D$35:$D$46</c:f>
              <c:numCache>
                <c:formatCode>0%</c:formatCode>
                <c:ptCount val="11"/>
                <c:pt idx="0">
                  <c:v>348115</c:v>
                </c:pt>
                <c:pt idx="1">
                  <c:v>852909</c:v>
                </c:pt>
                <c:pt idx="2">
                  <c:v>558485</c:v>
                </c:pt>
                <c:pt idx="3">
                  <c:v>331675</c:v>
                </c:pt>
                <c:pt idx="4">
                  <c:v>947425</c:v>
                </c:pt>
                <c:pt idx="5">
                  <c:v>649522</c:v>
                </c:pt>
                <c:pt idx="6">
                  <c:v>423378</c:v>
                </c:pt>
                <c:pt idx="7">
                  <c:v>820608</c:v>
                </c:pt>
                <c:pt idx="8">
                  <c:v>536736</c:v>
                </c:pt>
                <c:pt idx="9">
                  <c:v>260764</c:v>
                </c:pt>
              </c:numCache>
            </c:numRef>
          </c:val>
          <c:extLst>
            <c:ext xmlns:c16="http://schemas.microsoft.com/office/drawing/2014/chart" uri="{C3380CC4-5D6E-409C-BE32-E72D297353CC}">
              <c16:uniqueId val="{0000001B-C3EE-474D-842F-554263DA1921}"/>
            </c:ext>
          </c:extLst>
        </c:ser>
        <c:ser>
          <c:idx val="3"/>
          <c:order val="3"/>
          <c:tx>
            <c:strRef>
              <c:f>Dashboard!$E$33:$E$34</c:f>
              <c:strCache>
                <c:ptCount val="1"/>
                <c:pt idx="0">
                  <c:v>Computers</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Dashboard!$E$35:$E$46</c:f>
              <c:numCache>
                <c:formatCode>0%</c:formatCode>
                <c:ptCount val="11"/>
                <c:pt idx="0">
                  <c:v>195434</c:v>
                </c:pt>
                <c:pt idx="1">
                  <c:v>65760</c:v>
                </c:pt>
                <c:pt idx="2">
                  <c:v>930578</c:v>
                </c:pt>
                <c:pt idx="3">
                  <c:v>781086</c:v>
                </c:pt>
                <c:pt idx="4">
                  <c:v>739989</c:v>
                </c:pt>
                <c:pt idx="5">
                  <c:v>188529</c:v>
                </c:pt>
                <c:pt idx="6">
                  <c:v>969937</c:v>
                </c:pt>
                <c:pt idx="7">
                  <c:v>420908</c:v>
                </c:pt>
                <c:pt idx="8">
                  <c:v>604327</c:v>
                </c:pt>
                <c:pt idx="9">
                  <c:v>405914</c:v>
                </c:pt>
              </c:numCache>
            </c:numRef>
          </c:val>
          <c:extLst>
            <c:ext xmlns:c16="http://schemas.microsoft.com/office/drawing/2014/chart" uri="{C3380CC4-5D6E-409C-BE32-E72D297353CC}">
              <c16:uniqueId val="{0000001C-C3EE-474D-842F-554263DA1921}"/>
            </c:ext>
          </c:extLst>
        </c:ser>
        <c:ser>
          <c:idx val="4"/>
          <c:order val="4"/>
          <c:tx>
            <c:strRef>
              <c:f>Dashboard!$F$33:$F$34</c:f>
              <c:strCache>
                <c:ptCount val="1"/>
                <c:pt idx="0">
                  <c:v>Display</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Dashboard!$F$35:$F$46</c:f>
              <c:numCache>
                <c:formatCode>0%</c:formatCode>
                <c:ptCount val="11"/>
                <c:pt idx="0">
                  <c:v>929582</c:v>
                </c:pt>
                <c:pt idx="1">
                  <c:v>472512</c:v>
                </c:pt>
                <c:pt idx="2">
                  <c:v>592455</c:v>
                </c:pt>
                <c:pt idx="3">
                  <c:v>604445</c:v>
                </c:pt>
                <c:pt idx="4">
                  <c:v>562775</c:v>
                </c:pt>
                <c:pt idx="5">
                  <c:v>515838</c:v>
                </c:pt>
                <c:pt idx="6">
                  <c:v>235466</c:v>
                </c:pt>
                <c:pt idx="7">
                  <c:v>109876</c:v>
                </c:pt>
                <c:pt idx="8">
                  <c:v>846265</c:v>
                </c:pt>
                <c:pt idx="9">
                  <c:v>455653</c:v>
                </c:pt>
              </c:numCache>
            </c:numRef>
          </c:val>
          <c:extLst>
            <c:ext xmlns:c16="http://schemas.microsoft.com/office/drawing/2014/chart" uri="{C3380CC4-5D6E-409C-BE32-E72D297353CC}">
              <c16:uniqueId val="{0000001D-C3EE-474D-842F-554263DA1921}"/>
            </c:ext>
          </c:extLst>
        </c:ser>
        <c:ser>
          <c:idx val="5"/>
          <c:order val="5"/>
          <c:tx>
            <c:strRef>
              <c:f>Dashboard!$G$33:$G$34</c:f>
              <c:strCache>
                <c:ptCount val="1"/>
                <c:pt idx="0">
                  <c:v>Memory</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Dashboard!$G$35:$G$46</c:f>
              <c:numCache>
                <c:formatCode>0%</c:formatCode>
                <c:ptCount val="11"/>
                <c:pt idx="0">
                  <c:v>665460</c:v>
                </c:pt>
                <c:pt idx="1">
                  <c:v>173117</c:v>
                </c:pt>
                <c:pt idx="2">
                  <c:v>449563</c:v>
                </c:pt>
                <c:pt idx="3">
                  <c:v>561317</c:v>
                </c:pt>
                <c:pt idx="4">
                  <c:v>479923</c:v>
                </c:pt>
                <c:pt idx="5">
                  <c:v>475244</c:v>
                </c:pt>
                <c:pt idx="6">
                  <c:v>230161</c:v>
                </c:pt>
                <c:pt idx="7">
                  <c:v>378390</c:v>
                </c:pt>
                <c:pt idx="8">
                  <c:v>557728</c:v>
                </c:pt>
                <c:pt idx="9">
                  <c:v>791176</c:v>
                </c:pt>
              </c:numCache>
            </c:numRef>
          </c:val>
          <c:extLst>
            <c:ext xmlns:c16="http://schemas.microsoft.com/office/drawing/2014/chart" uri="{C3380CC4-5D6E-409C-BE32-E72D297353CC}">
              <c16:uniqueId val="{0000001E-C3EE-474D-842F-554263DA1921}"/>
            </c:ext>
          </c:extLst>
        </c:ser>
        <c:ser>
          <c:idx val="6"/>
          <c:order val="6"/>
          <c:tx>
            <c:strRef>
              <c:f>Dashboard!$H$33:$H$34</c:f>
              <c:strCache>
                <c:ptCount val="1"/>
                <c:pt idx="0">
                  <c:v>Networking</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Dashboard!$H$35:$H$46</c:f>
              <c:numCache>
                <c:formatCode>0%</c:formatCode>
                <c:ptCount val="11"/>
                <c:pt idx="0">
                  <c:v>478229</c:v>
                </c:pt>
                <c:pt idx="1">
                  <c:v>339304</c:v>
                </c:pt>
                <c:pt idx="2">
                  <c:v>684891</c:v>
                </c:pt>
                <c:pt idx="3">
                  <c:v>353102</c:v>
                </c:pt>
                <c:pt idx="4">
                  <c:v>356739</c:v>
                </c:pt>
                <c:pt idx="5">
                  <c:v>415466</c:v>
                </c:pt>
                <c:pt idx="6">
                  <c:v>939566</c:v>
                </c:pt>
                <c:pt idx="7">
                  <c:v>533859</c:v>
                </c:pt>
                <c:pt idx="8">
                  <c:v>919954</c:v>
                </c:pt>
                <c:pt idx="9">
                  <c:v>989357</c:v>
                </c:pt>
              </c:numCache>
            </c:numRef>
          </c:val>
          <c:extLst>
            <c:ext xmlns:c16="http://schemas.microsoft.com/office/drawing/2014/chart" uri="{C3380CC4-5D6E-409C-BE32-E72D297353CC}">
              <c16:uniqueId val="{0000001F-C3EE-474D-842F-554263DA1921}"/>
            </c:ext>
          </c:extLst>
        </c:ser>
        <c:ser>
          <c:idx val="7"/>
          <c:order val="7"/>
          <c:tx>
            <c:strRef>
              <c:f>Dashboard!$I$33:$I$34</c:f>
              <c:strCache>
                <c:ptCount val="1"/>
                <c:pt idx="0">
                  <c:v>Office</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Dashboard!$I$35:$I$46</c:f>
              <c:numCache>
                <c:formatCode>0%</c:formatCode>
                <c:ptCount val="11"/>
                <c:pt idx="0">
                  <c:v>317379</c:v>
                </c:pt>
                <c:pt idx="1">
                  <c:v>424207</c:v>
                </c:pt>
                <c:pt idx="2">
                  <c:v>457701</c:v>
                </c:pt>
                <c:pt idx="3">
                  <c:v>526237</c:v>
                </c:pt>
                <c:pt idx="4">
                  <c:v>727672</c:v>
                </c:pt>
                <c:pt idx="5">
                  <c:v>533745</c:v>
                </c:pt>
                <c:pt idx="6">
                  <c:v>812445</c:v>
                </c:pt>
                <c:pt idx="7">
                  <c:v>29385</c:v>
                </c:pt>
                <c:pt idx="8">
                  <c:v>1064422</c:v>
                </c:pt>
                <c:pt idx="9">
                  <c:v>927296</c:v>
                </c:pt>
              </c:numCache>
            </c:numRef>
          </c:val>
          <c:extLst>
            <c:ext xmlns:c16="http://schemas.microsoft.com/office/drawing/2014/chart" uri="{C3380CC4-5D6E-409C-BE32-E72D297353CC}">
              <c16:uniqueId val="{00000020-C3EE-474D-842F-554263DA1921}"/>
            </c:ext>
          </c:extLst>
        </c:ser>
        <c:ser>
          <c:idx val="8"/>
          <c:order val="8"/>
          <c:tx>
            <c:strRef>
              <c:f>Dashboard!$J$33:$J$34</c:f>
              <c:strCache>
                <c:ptCount val="1"/>
                <c:pt idx="0">
                  <c:v>Storage</c:v>
                </c:pt>
              </c:strCache>
            </c:strRef>
          </c:tx>
          <c:spPr>
            <a:solidFill>
              <a:schemeClr val="accent3">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Dashboard!$J$35:$J$46</c:f>
              <c:numCache>
                <c:formatCode>0%</c:formatCode>
                <c:ptCount val="11"/>
                <c:pt idx="0">
                  <c:v>872212</c:v>
                </c:pt>
                <c:pt idx="1">
                  <c:v>617084</c:v>
                </c:pt>
                <c:pt idx="2">
                  <c:v>287111</c:v>
                </c:pt>
                <c:pt idx="3">
                  <c:v>488474</c:v>
                </c:pt>
                <c:pt idx="4">
                  <c:v>432807</c:v>
                </c:pt>
                <c:pt idx="5">
                  <c:v>391335</c:v>
                </c:pt>
                <c:pt idx="6">
                  <c:v>643352</c:v>
                </c:pt>
                <c:pt idx="7">
                  <c:v>760811</c:v>
                </c:pt>
                <c:pt idx="8">
                  <c:v>770477</c:v>
                </c:pt>
                <c:pt idx="9">
                  <c:v>370899</c:v>
                </c:pt>
              </c:numCache>
            </c:numRef>
          </c:val>
          <c:extLst>
            <c:ext xmlns:c16="http://schemas.microsoft.com/office/drawing/2014/chart" uri="{C3380CC4-5D6E-409C-BE32-E72D297353CC}">
              <c16:uniqueId val="{00000021-C3EE-474D-842F-554263DA1921}"/>
            </c:ext>
          </c:extLst>
        </c:ser>
        <c:ser>
          <c:idx val="9"/>
          <c:order val="9"/>
          <c:tx>
            <c:strRef>
              <c:f>Dashboard!$K$33:$K$34</c:f>
              <c:strCache>
                <c:ptCount val="1"/>
                <c:pt idx="0">
                  <c:v>(blank)</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Dashboard!$A$35:$A$46</c:f>
              <c:strCache>
                <c:ptCount val="11"/>
                <c:pt idx="0">
                  <c:v>Headphones</c:v>
                </c:pt>
                <c:pt idx="1">
                  <c:v>Keyboard</c:v>
                </c:pt>
                <c:pt idx="2">
                  <c:v>Laptop</c:v>
                </c:pt>
                <c:pt idx="3">
                  <c:v>Monitor</c:v>
                </c:pt>
                <c:pt idx="4">
                  <c:v>Mouse</c:v>
                </c:pt>
                <c:pt idx="5">
                  <c:v>Printer</c:v>
                </c:pt>
                <c:pt idx="6">
                  <c:v>RAM</c:v>
                </c:pt>
                <c:pt idx="7">
                  <c:v>Router</c:v>
                </c:pt>
                <c:pt idx="8">
                  <c:v>SSD</c:v>
                </c:pt>
                <c:pt idx="9">
                  <c:v>Webcam</c:v>
                </c:pt>
                <c:pt idx="10">
                  <c:v>(blank)</c:v>
                </c:pt>
              </c:strCache>
            </c:strRef>
          </c:cat>
          <c:val>
            <c:numRef>
              <c:f>Dashboard!$K$35:$K$46</c:f>
              <c:numCache>
                <c:formatCode>General</c:formatCode>
                <c:ptCount val="11"/>
              </c:numCache>
            </c:numRef>
          </c:val>
          <c:extLst>
            <c:ext xmlns:c16="http://schemas.microsoft.com/office/drawing/2014/chart" uri="{C3380CC4-5D6E-409C-BE32-E72D297353CC}">
              <c16:uniqueId val="{00000022-C3EE-474D-842F-554263DA1921}"/>
            </c:ext>
          </c:extLst>
        </c:ser>
        <c:dLbls>
          <c:showLegendKey val="0"/>
          <c:showVal val="1"/>
          <c:showCatName val="0"/>
          <c:showSerName val="0"/>
          <c:showPercent val="0"/>
          <c:showBubbleSize val="0"/>
        </c:dLbls>
        <c:gapWidth val="150"/>
        <c:shape val="box"/>
        <c:axId val="295157184"/>
        <c:axId val="284886112"/>
        <c:axId val="0"/>
      </c:bar3DChart>
      <c:catAx>
        <c:axId val="295157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86112"/>
        <c:crosses val="autoZero"/>
        <c:auto val="1"/>
        <c:lblAlgn val="ctr"/>
        <c:lblOffset val="100"/>
        <c:noMultiLvlLbl val="0"/>
      </c:catAx>
      <c:valAx>
        <c:axId val="2848861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[Inventory_Lookup_System.xlsx.xlsx]Dashboard!PivotTable2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a:t>
            </a:r>
            <a:r>
              <a:rPr lang="en-US" baseline="0"/>
              <a:t> CHART</a:t>
            </a:r>
            <a:endParaRPr lang="en-US"/>
          </a:p>
        </c:rich>
      </c:tx>
      <c:layout>
        <c:manualLayout>
          <c:xMode val="edge"/>
          <c:yMode val="edge"/>
          <c:x val="0.40644751844760452"/>
          <c:y val="5.8621707224484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Dashboard!$N$34</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3"/>
            <c:bubble3D val="0"/>
            <c:spPr>
              <a:solidFill>
                <a:schemeClr val="accent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4"/>
            <c:bubble3D val="0"/>
            <c:spPr>
              <a:solidFill>
                <a:schemeClr val="accent5"/>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5"/>
            <c:bubble3D val="0"/>
            <c:spPr>
              <a:solidFill>
                <a:schemeClr val="accent6"/>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6"/>
            <c:bubble3D val="0"/>
            <c:spPr>
              <a:solidFill>
                <a:schemeClr val="accent1">
                  <a:lumMod val="6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7"/>
            <c:bubble3D val="0"/>
            <c:spPr>
              <a:solidFill>
                <a:schemeClr val="accent2">
                  <a:lumMod val="6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8"/>
            <c:bubble3D val="0"/>
            <c:spPr>
              <a:solidFill>
                <a:schemeClr val="accent3">
                  <a:lumMod val="6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Pt>
            <c:idx val="9"/>
            <c:bubble3D val="0"/>
            <c:spPr>
              <a:solidFill>
                <a:schemeClr val="accent4">
                  <a:lumMod val="6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softEdge rad="0"/>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Dashboard!$M$35:$M$45</c:f>
              <c:strCache>
                <c:ptCount val="10"/>
                <c:pt idx="0">
                  <c:v>Accessories</c:v>
                </c:pt>
                <c:pt idx="1">
                  <c:v>Audio</c:v>
                </c:pt>
                <c:pt idx="2">
                  <c:v>Camera</c:v>
                </c:pt>
                <c:pt idx="3">
                  <c:v>Computers</c:v>
                </c:pt>
                <c:pt idx="4">
                  <c:v>Display</c:v>
                </c:pt>
                <c:pt idx="5">
                  <c:v>Memory</c:v>
                </c:pt>
                <c:pt idx="6">
                  <c:v>Networking</c:v>
                </c:pt>
                <c:pt idx="7">
                  <c:v>Office</c:v>
                </c:pt>
                <c:pt idx="8">
                  <c:v>Storage</c:v>
                </c:pt>
                <c:pt idx="9">
                  <c:v>(blank)</c:v>
                </c:pt>
              </c:strCache>
            </c:strRef>
          </c:cat>
          <c:val>
            <c:numRef>
              <c:f>Dashboard!$N$35:$N$45</c:f>
              <c:numCache>
                <c:formatCode>General</c:formatCode>
                <c:ptCount val="10"/>
                <c:pt idx="0">
                  <c:v>7407626</c:v>
                </c:pt>
                <c:pt idx="1">
                  <c:v>5335250</c:v>
                </c:pt>
                <c:pt idx="2">
                  <c:v>5729617</c:v>
                </c:pt>
                <c:pt idx="3">
                  <c:v>5302462</c:v>
                </c:pt>
                <c:pt idx="4">
                  <c:v>5324867</c:v>
                </c:pt>
                <c:pt idx="5">
                  <c:v>4762079</c:v>
                </c:pt>
                <c:pt idx="6">
                  <c:v>6010467</c:v>
                </c:pt>
                <c:pt idx="7">
                  <c:v>5820489</c:v>
                </c:pt>
                <c:pt idx="8">
                  <c:v>5634562</c:v>
                </c:pt>
              </c:numCache>
            </c:numRef>
          </c:val>
          <c:extLst>
            <c:ext xmlns:c16="http://schemas.microsoft.com/office/drawing/2014/chart" uri="{C3380CC4-5D6E-409C-BE32-E72D297353CC}">
              <c16:uniqueId val="{00000000-D8A9-45AF-89AD-C7C11158F034}"/>
            </c:ext>
          </c:extLst>
        </c:ser>
        <c:dLbls>
          <c:showLegendKey val="0"/>
          <c:showVal val="0"/>
          <c:showCatName val="0"/>
          <c:showSerName val="0"/>
          <c:showPercent val="0"/>
          <c:showBubbleSize val="0"/>
          <c:showLeaderLines val="1"/>
        </c:dLbls>
        <c:firstSliceAng val="0"/>
        <c:holeSize val="7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706782</xdr:colOff>
      <xdr:row>4</xdr:row>
      <xdr:rowOff>176695</xdr:rowOff>
    </xdr:from>
    <xdr:to>
      <xdr:col>8</xdr:col>
      <xdr:colOff>66260</xdr:colOff>
      <xdr:row>13</xdr:row>
      <xdr:rowOff>165652</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8A8FFE53-CBE3-46C3-8D23-F7AAD5775E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543825" y="927652"/>
              <a:ext cx="2363305" cy="1678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218551</xdr:colOff>
      <xdr:row>5</xdr:row>
      <xdr:rowOff>33131</xdr:rowOff>
    </xdr:from>
    <xdr:to>
      <xdr:col>4</xdr:col>
      <xdr:colOff>814899</xdr:colOff>
      <xdr:row>14</xdr:row>
      <xdr:rowOff>22087</xdr:rowOff>
    </xdr:to>
    <mc:AlternateContent xmlns:mc="http://schemas.openxmlformats.org/markup-compatibility/2006">
      <mc:Choice xmlns:a14="http://schemas.microsoft.com/office/drawing/2010/main" Requires="a14">
        <xdr:graphicFrame macro="">
          <xdr:nvGraphicFramePr>
            <xdr:cNvPr id="5" name="Price">
              <a:extLst>
                <a:ext uri="{FF2B5EF4-FFF2-40B4-BE49-F238E27FC236}">
                  <a16:creationId xmlns:a16="http://schemas.microsoft.com/office/drawing/2014/main" id="{A261F079-7BB5-4DA6-9F85-4C23E15775B6}"/>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2360986" y="971827"/>
              <a:ext cx="2418522" cy="1678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13584</xdr:colOff>
      <xdr:row>5</xdr:row>
      <xdr:rowOff>33130</xdr:rowOff>
    </xdr:from>
    <xdr:to>
      <xdr:col>2</xdr:col>
      <xdr:colOff>0</xdr:colOff>
      <xdr:row>14</xdr:row>
      <xdr:rowOff>25509</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3CB26E9-B942-4FFA-B07E-2819F899CC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84" y="971826"/>
              <a:ext cx="2128851" cy="1682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0</xdr:row>
      <xdr:rowOff>22860</xdr:rowOff>
    </xdr:from>
    <xdr:to>
      <xdr:col>7</xdr:col>
      <xdr:colOff>7620</xdr:colOff>
      <xdr:row>1</xdr:row>
      <xdr:rowOff>152400</xdr:rowOff>
    </xdr:to>
    <xdr:sp macro="" textlink="">
      <xdr:nvSpPr>
        <xdr:cNvPr id="7" name="Rectangle 6">
          <a:extLst>
            <a:ext uri="{FF2B5EF4-FFF2-40B4-BE49-F238E27FC236}">
              <a16:creationId xmlns:a16="http://schemas.microsoft.com/office/drawing/2014/main" id="{2ACF2FA4-8CA5-417C-AE2B-BA93F5C9CAAD}"/>
            </a:ext>
          </a:extLst>
        </xdr:cNvPr>
        <xdr:cNvSpPr/>
      </xdr:nvSpPr>
      <xdr:spPr>
        <a:xfrm>
          <a:off x="3375660" y="22860"/>
          <a:ext cx="3139440" cy="3124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KPI  SUMMARY</a:t>
          </a:r>
        </a:p>
      </xdr:txBody>
    </xdr:sp>
    <xdr:clientData/>
  </xdr:twoCellAnchor>
  <xdr:twoCellAnchor>
    <xdr:from>
      <xdr:col>0</xdr:col>
      <xdr:colOff>0</xdr:colOff>
      <xdr:row>15</xdr:row>
      <xdr:rowOff>13363</xdr:rowOff>
    </xdr:from>
    <xdr:to>
      <xdr:col>4</xdr:col>
      <xdr:colOff>198120</xdr:colOff>
      <xdr:row>30</xdr:row>
      <xdr:rowOff>13363</xdr:rowOff>
    </xdr:to>
    <xdr:graphicFrame macro="">
      <xdr:nvGraphicFramePr>
        <xdr:cNvPr id="8" name="Chart 7">
          <a:extLst>
            <a:ext uri="{FF2B5EF4-FFF2-40B4-BE49-F238E27FC236}">
              <a16:creationId xmlns:a16="http://schemas.microsoft.com/office/drawing/2014/main" id="{EAFA3BD6-5B54-4C9D-A167-924793AED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596348</xdr:colOff>
      <xdr:row>15</xdr:row>
      <xdr:rowOff>33130</xdr:rowOff>
    </xdr:from>
    <xdr:to>
      <xdr:col>9</xdr:col>
      <xdr:colOff>353392</xdr:colOff>
      <xdr:row>29</xdr:row>
      <xdr:rowOff>173381</xdr:rowOff>
    </xdr:to>
    <xdr:graphicFrame macro="">
      <xdr:nvGraphicFramePr>
        <xdr:cNvPr id="9" name="Chart 8">
          <a:extLst>
            <a:ext uri="{FF2B5EF4-FFF2-40B4-BE49-F238E27FC236}">
              <a16:creationId xmlns:a16="http://schemas.microsoft.com/office/drawing/2014/main" id="{31E29D31-FFC7-43C7-A3EA-17DF48EF1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33130</xdr:colOff>
      <xdr:row>1</xdr:row>
      <xdr:rowOff>132521</xdr:rowOff>
    </xdr:from>
    <xdr:to>
      <xdr:col>13</xdr:col>
      <xdr:colOff>44173</xdr:colOff>
      <xdr:row>11</xdr:row>
      <xdr:rowOff>165652</xdr:rowOff>
    </xdr:to>
    <xdr:sp macro="" textlink="">
      <xdr:nvSpPr>
        <xdr:cNvPr id="10" name="Rectangle 9">
          <a:extLst>
            <a:ext uri="{FF2B5EF4-FFF2-40B4-BE49-F238E27FC236}">
              <a16:creationId xmlns:a16="http://schemas.microsoft.com/office/drawing/2014/main" id="{08673530-9E2E-48DE-AD9C-1724E2FD6C1E}"/>
            </a:ext>
          </a:extLst>
        </xdr:cNvPr>
        <xdr:cNvSpPr/>
      </xdr:nvSpPr>
      <xdr:spPr>
        <a:xfrm>
          <a:off x="9353826" y="320260"/>
          <a:ext cx="3434521" cy="1910522"/>
        </a:xfrm>
        <a:prstGeom prst="rect">
          <a:avLst/>
        </a:prstGeom>
        <a:solidFill>
          <a:schemeClr val="tx2">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b="0" i="0" u="none" strike="noStrike">
              <a:solidFill>
                <a:schemeClr val="lt1"/>
              </a:solidFill>
              <a:effectLst/>
              <a:latin typeface="+mn-lt"/>
              <a:ea typeface="+mn-ea"/>
              <a:cs typeface="+mn-cs"/>
            </a:rPr>
            <a:t>Key Insights:</a:t>
          </a:r>
        </a:p>
        <a:p>
          <a:pPr algn="l"/>
          <a:r>
            <a:rPr lang="en-US" sz="1400"/>
            <a:t> </a:t>
          </a:r>
          <a:r>
            <a:rPr lang="en-US" sz="1400" b="0" i="0" u="none" strike="noStrike">
              <a:solidFill>
                <a:schemeClr val="lt1"/>
              </a:solidFill>
              <a:effectLst/>
              <a:latin typeface="+mn-lt"/>
              <a:ea typeface="+mn-ea"/>
              <a:cs typeface="+mn-cs"/>
            </a:rPr>
            <a:t>1. Monitor category 19% sales ke sath Top hai = $5.6B</a:t>
          </a:r>
          <a:r>
            <a:rPr lang="en-US" sz="1400"/>
            <a:t> </a:t>
          </a:r>
        </a:p>
        <a:p>
          <a:pPr algn="l"/>
          <a:r>
            <a:rPr lang="en-US" sz="1400" b="0" i="0" u="none" strike="noStrike">
              <a:solidFill>
                <a:schemeClr val="lt1"/>
              </a:solidFill>
              <a:effectLst/>
              <a:latin typeface="+mn-lt"/>
              <a:ea typeface="+mn-ea"/>
              <a:cs typeface="+mn-cs"/>
            </a:rPr>
            <a:t>2. Average Price $7,407 hai. Premium products focus karein</a:t>
          </a:r>
          <a:r>
            <a:rPr lang="en-US" sz="1400"/>
            <a:t> </a:t>
          </a:r>
        </a:p>
        <a:p>
          <a:pPr algn="l"/>
          <a:r>
            <a:rPr lang="en-US" sz="1400" b="0" i="0" u="none" strike="noStrike">
              <a:solidFill>
                <a:schemeClr val="lt1"/>
              </a:solidFill>
              <a:effectLst/>
              <a:latin typeface="+mn-lt"/>
              <a:ea typeface="+mn-ea"/>
              <a:cs typeface="+mn-cs"/>
            </a:rPr>
            <a:t>3. Storage + Networking mil ke 21% sales dete hain</a:t>
          </a:r>
          <a:r>
            <a:rPr lang="en-US" sz="1400"/>
            <a:t> </a:t>
          </a:r>
        </a:p>
      </xdr:txBody>
    </xdr:sp>
    <xdr:clientData/>
  </xdr:twoCellAnchor>
  <xdr:twoCellAnchor editAs="oneCell">
    <xdr:from>
      <xdr:col>9</xdr:col>
      <xdr:colOff>627932</xdr:colOff>
      <xdr:row>13</xdr:row>
      <xdr:rowOff>107895</xdr:rowOff>
    </xdr:from>
    <xdr:to>
      <xdr:col>12</xdr:col>
      <xdr:colOff>254000</xdr:colOff>
      <xdr:row>20</xdr:row>
      <xdr:rowOff>110435</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6D0990D8-6132-4CB0-A0D7-EF2964A7D30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341236" y="2548504"/>
              <a:ext cx="1923112" cy="1316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607392</xdr:colOff>
      <xdr:row>21</xdr:row>
      <xdr:rowOff>154608</xdr:rowOff>
    </xdr:from>
    <xdr:to>
      <xdr:col>12</xdr:col>
      <xdr:colOff>331304</xdr:colOff>
      <xdr:row>29</xdr:row>
      <xdr:rowOff>121478</xdr:rowOff>
    </xdr:to>
    <mc:AlternateContent xmlns:mc="http://schemas.openxmlformats.org/markup-compatibility/2006">
      <mc:Choice xmlns:a14="http://schemas.microsoft.com/office/drawing/2010/main" Requires="a14">
        <xdr:graphicFrame macro="">
          <xdr:nvGraphicFramePr>
            <xdr:cNvPr id="12" name="Price 1">
              <a:extLst>
                <a:ext uri="{FF2B5EF4-FFF2-40B4-BE49-F238E27FC236}">
                  <a16:creationId xmlns:a16="http://schemas.microsoft.com/office/drawing/2014/main" id="{7280D9A9-C796-4AEA-8167-9E9B9DCA5E5F}"/>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dr:sp macro="" textlink="">
          <xdr:nvSpPr>
            <xdr:cNvPr id="0" name=""/>
            <xdr:cNvSpPr>
              <a:spLocks noTextEdit="1"/>
            </xdr:cNvSpPr>
          </xdr:nvSpPr>
          <xdr:spPr>
            <a:xfrm>
              <a:off x="9320696" y="4097130"/>
              <a:ext cx="2020956" cy="1468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179.869611226852" createdVersion="6" refreshedVersion="6" minRefreshableVersion="3" recordCount="501" xr:uid="{07C9257A-BFF7-481C-AE70-5E08EFCFCF89}">
  <cacheSource type="worksheet">
    <worksheetSource ref="A1:F1048576" sheet="Inventory_Data"/>
  </cacheSource>
  <cacheFields count="6">
    <cacheField name="Product ID" numFmtId="0">
      <sharedItems containsString="0" containsBlank="1" containsNumber="1" containsInteger="1" minValue="1001" maxValue="1500"/>
    </cacheField>
    <cacheField name="Product" numFmtId="0">
      <sharedItems containsBlank="1" count="11">
        <s v="SSD"/>
        <s v="Laptop"/>
        <s v="Printer"/>
        <s v="Monitor"/>
        <s v="Headphones"/>
        <s v="Webcam"/>
        <s v="RAM"/>
        <s v="Keyboard"/>
        <s v="Mouse"/>
        <s v="Router"/>
        <m/>
      </sharedItems>
    </cacheField>
    <cacheField name="Price" numFmtId="44">
      <sharedItems containsString="0" containsBlank="1" containsNumber="1" containsInteger="1" minValue="1151" maxValue="199561" count="500">
        <n v="185970"/>
        <n v="140284"/>
        <n v="88253"/>
        <n v="134248"/>
        <n v="13869"/>
        <n v="5167"/>
        <n v="124553"/>
        <n v="193005"/>
        <n v="155686"/>
        <n v="86085"/>
        <n v="100509"/>
        <n v="175111"/>
        <n v="76893"/>
        <n v="128507"/>
        <n v="161039"/>
        <n v="109876"/>
        <n v="98947"/>
        <n v="68756"/>
        <n v="179341"/>
        <n v="109495"/>
        <n v="86546"/>
        <n v="139032"/>
        <n v="196284"/>
        <n v="36714"/>
        <n v="116310"/>
        <n v="112997"/>
        <n v="154031"/>
        <n v="72136"/>
        <n v="48851"/>
        <n v="66662"/>
        <n v="161174"/>
        <n v="106237"/>
        <n v="88442"/>
        <n v="169472"/>
        <n v="23918"/>
        <n v="79550"/>
        <n v="7144"/>
        <n v="101508"/>
        <n v="81572"/>
        <n v="140093"/>
        <n v="85386"/>
        <n v="64926"/>
        <n v="162826"/>
        <n v="99643"/>
        <n v="82061"/>
        <n v="18963"/>
        <n v="8615"/>
        <n v="91193"/>
        <n v="112902"/>
        <n v="174100"/>
        <n v="32062"/>
        <n v="172607"/>
        <n v="30963"/>
        <n v="113682"/>
        <n v="186982"/>
        <n v="135498"/>
        <n v="71705"/>
        <n v="31518"/>
        <n v="106163"/>
        <n v="139008"/>
        <n v="93436"/>
        <n v="52284"/>
        <n v="160591"/>
        <n v="3674"/>
        <n v="106522"/>
        <n v="108792"/>
        <n v="104006"/>
        <n v="164061"/>
        <n v="147376"/>
        <n v="156820"/>
        <n v="132165"/>
        <n v="34159"/>
        <n v="162447"/>
        <n v="193393"/>
        <n v="59401"/>
        <n v="164414"/>
        <n v="172049"/>
        <n v="145370"/>
        <n v="90149"/>
        <n v="119036"/>
        <n v="149284"/>
        <n v="118835"/>
        <n v="67261"/>
        <n v="92067"/>
        <n v="58099"/>
        <n v="36558"/>
        <n v="64799"/>
        <n v="112448"/>
        <n v="14749"/>
        <n v="187127"/>
        <n v="36477"/>
        <n v="26125"/>
        <n v="50469"/>
        <n v="158216"/>
        <n v="72574"/>
        <n v="144882"/>
        <n v="155995"/>
        <n v="183200"/>
        <n v="7559"/>
        <n v="121747"/>
        <n v="141059"/>
        <n v="164630"/>
        <n v="129170"/>
        <n v="138944"/>
        <n v="62563"/>
        <n v="147164"/>
        <n v="173414"/>
        <n v="193835"/>
        <n v="85470"/>
        <n v="124825"/>
        <n v="59694"/>
        <n v="167584"/>
        <n v="81524"/>
        <n v="115986"/>
        <n v="24154"/>
        <n v="120358"/>
        <n v="100697"/>
        <n v="85861"/>
        <n v="123552"/>
        <n v="100499"/>
        <n v="4431"/>
        <n v="113674"/>
        <n v="53812"/>
        <n v="59670"/>
        <n v="137671"/>
        <n v="198404"/>
        <n v="28950"/>
        <n v="191934"/>
        <n v="120381"/>
        <n v="154885"/>
        <n v="50679"/>
        <n v="41753"/>
        <n v="184303"/>
        <n v="174326"/>
        <n v="158965"/>
        <n v="128208"/>
        <n v="13964"/>
        <n v="113799"/>
        <n v="138697"/>
        <n v="85192"/>
        <n v="84190"/>
        <n v="115628"/>
        <n v="145809"/>
        <n v="28844"/>
        <n v="118594"/>
        <n v="161330"/>
        <n v="93274"/>
        <n v="91895"/>
        <n v="159709"/>
        <n v="156295"/>
        <n v="128842"/>
        <n v="171355"/>
        <n v="13865"/>
        <n v="61491"/>
        <n v="60849"/>
        <n v="25711"/>
        <n v="30011"/>
        <n v="158424"/>
        <n v="194294"/>
        <n v="137891"/>
        <n v="122208"/>
        <n v="120649"/>
        <n v="120707"/>
        <n v="148731"/>
        <n v="43983"/>
        <n v="189944"/>
        <n v="69197"/>
        <n v="36059"/>
        <n v="95320"/>
        <n v="148201"/>
        <n v="175673"/>
        <n v="174592"/>
        <n v="94202"/>
        <n v="146646"/>
        <n v="63131"/>
        <n v="5346"/>
        <n v="98361"/>
        <n v="186909"/>
        <n v="25074"/>
        <n v="160032"/>
        <n v="51138"/>
        <n v="103881"/>
        <n v="188555"/>
        <n v="60508"/>
        <n v="199561"/>
        <n v="5263"/>
        <n v="86378"/>
        <n v="49078"/>
        <n v="145524"/>
        <n v="178886"/>
        <n v="133678"/>
        <n v="13858"/>
        <n v="185443"/>
        <n v="32131"/>
        <n v="160190"/>
        <n v="6269"/>
        <n v="74596"/>
        <n v="53249"/>
        <n v="135523"/>
        <n v="23253"/>
        <n v="60582"/>
        <n v="160098"/>
        <n v="134038"/>
        <n v="115574"/>
        <n v="120232"/>
        <n v="95551"/>
        <n v="29192"/>
        <n v="169217"/>
        <n v="174081"/>
        <n v="75650"/>
        <n v="64521"/>
        <n v="133814"/>
        <n v="48833"/>
        <n v="154624"/>
        <n v="124644"/>
        <n v="84217"/>
        <n v="157787"/>
        <n v="101219"/>
        <n v="78429"/>
        <n v="139122"/>
        <n v="115913"/>
        <n v="147552"/>
        <n v="7053"/>
        <n v="133967"/>
        <n v="114096"/>
        <n v="162657"/>
        <n v="138784"/>
        <n v="106804"/>
        <n v="84848"/>
        <n v="157015"/>
        <n v="48803"/>
        <n v="67472"/>
        <n v="87234"/>
        <n v="3729"/>
        <n v="175425"/>
        <n v="83623"/>
        <n v="37746"/>
        <n v="85123"/>
        <n v="62610"/>
        <n v="122102"/>
        <n v="27663"/>
        <n v="127482"/>
        <n v="28004"/>
        <n v="25224"/>
        <n v="130852"/>
        <n v="183088"/>
        <n v="183238"/>
        <n v="106831"/>
        <n v="133667"/>
        <n v="159182"/>
        <n v="93066"/>
        <n v="188272"/>
        <n v="139693"/>
        <n v="13222"/>
        <n v="94481"/>
        <n v="125678"/>
        <n v="77118"/>
        <n v="32576"/>
        <n v="24342"/>
        <n v="72347"/>
        <n v="37914"/>
        <n v="54858"/>
        <n v="41988"/>
        <n v="108470"/>
        <n v="144602"/>
        <n v="100026"/>
        <n v="109312"/>
        <n v="187210"/>
        <n v="57334"/>
        <n v="114711"/>
        <n v="187077"/>
        <n v="78607"/>
        <n v="11502"/>
        <n v="117932"/>
        <n v="50499"/>
        <n v="74652"/>
        <n v="189612"/>
        <n v="97504"/>
        <n v="185361"/>
        <n v="104909"/>
        <n v="52634"/>
        <n v="69263"/>
        <n v="121038"/>
        <n v="101107"/>
        <n v="185906"/>
        <n v="150184"/>
        <n v="113232"/>
        <n v="193361"/>
        <n v="157826"/>
        <n v="41041"/>
        <n v="44480"/>
        <n v="106234"/>
        <n v="4471"/>
        <n v="69628"/>
        <n v="27443"/>
        <n v="175379"/>
        <n v="146253"/>
        <n v="144839"/>
        <n v="193640"/>
        <n v="37784"/>
        <n v="143358"/>
        <n v="161812"/>
        <n v="197738"/>
        <n v="35201"/>
        <n v="179618"/>
        <n v="194343"/>
        <n v="65760"/>
        <n v="96976"/>
        <n v="60100"/>
        <n v="111556"/>
        <n v="159945"/>
        <n v="41642"/>
        <n v="23339"/>
        <n v="194119"/>
        <n v="41236"/>
        <n v="79843"/>
        <n v="165489"/>
        <n v="96246"/>
        <n v="7179"/>
        <n v="145229"/>
        <n v="140115"/>
        <n v="130639"/>
        <n v="51995"/>
        <n v="41000"/>
        <n v="15700"/>
        <n v="105208"/>
        <n v="152841"/>
        <n v="32083"/>
        <n v="117776"/>
        <n v="195046"/>
        <n v="149137"/>
        <n v="167377"/>
        <n v="90132"/>
        <n v="7937"/>
        <n v="154069"/>
        <n v="183954"/>
        <n v="121824"/>
        <n v="122506"/>
        <n v="59576"/>
        <n v="33193"/>
        <n v="81717"/>
        <n v="64625"/>
        <n v="32269"/>
        <n v="32463"/>
        <n v="150378"/>
        <n v="156984"/>
        <n v="153671"/>
        <n v="138785"/>
        <n v="134623"/>
        <n v="166635"/>
        <n v="30829"/>
        <n v="130431"/>
        <n v="192619"/>
        <n v="15534"/>
        <n v="100006"/>
        <n v="194837"/>
        <n v="108842"/>
        <n v="153278"/>
        <n v="95459"/>
        <n v="112948"/>
        <n v="75401"/>
        <n v="145711"/>
        <n v="48075"/>
        <n v="86695"/>
        <n v="128079"/>
        <n v="173797"/>
        <n v="31924"/>
        <n v="46564"/>
        <n v="164081"/>
        <n v="153348"/>
        <n v="138155"/>
        <n v="183161"/>
        <n v="177626"/>
        <n v="185819"/>
        <n v="162495"/>
        <n v="163125"/>
        <n v="130968"/>
        <n v="22932"/>
        <n v="73564"/>
        <n v="192540"/>
        <n v="23665"/>
        <n v="107027"/>
        <n v="188528"/>
        <n v="22682"/>
        <n v="29605"/>
        <n v="133925"/>
        <n v="124845"/>
        <n v="137212"/>
        <n v="10378"/>
        <n v="43472"/>
        <n v="64730"/>
        <n v="19709"/>
        <n v="81633"/>
        <n v="23312"/>
        <n v="188989"/>
        <n v="123778"/>
        <n v="114528"/>
        <n v="94197"/>
        <n v="72789"/>
        <n v="22026"/>
        <n v="42153"/>
        <n v="121731"/>
        <n v="150973"/>
        <n v="76071"/>
        <n v="156463"/>
        <n v="103154"/>
        <n v="154933"/>
        <n v="123694"/>
        <n v="128851"/>
        <n v="62311"/>
        <n v="155498"/>
        <n v="29187"/>
        <n v="99404"/>
        <n v="113424"/>
        <n v="93651"/>
        <n v="40003"/>
        <n v="16506"/>
        <n v="44831"/>
        <n v="38471"/>
        <n v="10411"/>
        <n v="105412"/>
        <n v="1151"/>
        <n v="72852"/>
        <n v="162493"/>
        <n v="23103"/>
        <n v="177037"/>
        <n v="119810"/>
        <n v="117223"/>
        <n v="36275"/>
        <n v="133180"/>
        <n v="42590"/>
        <n v="62780"/>
        <n v="127340"/>
        <n v="83889"/>
        <n v="58963"/>
        <n v="113328"/>
        <n v="19850"/>
        <n v="40255"/>
        <n v="4562"/>
        <n v="152586"/>
        <n v="6192"/>
        <n v="154842"/>
        <n v="67520"/>
        <n v="22963"/>
        <n v="79271"/>
        <n v="110250"/>
        <n v="7520"/>
        <n v="60063"/>
        <n v="39975"/>
        <n v="129599"/>
        <n v="117939"/>
        <n v="102164"/>
        <n v="109577"/>
        <n v="17838"/>
        <n v="131918"/>
        <n v="143321"/>
        <n v="161702"/>
        <n v="57886"/>
        <n v="113481"/>
        <n v="148804"/>
        <n v="100600"/>
        <n v="157721"/>
        <n v="64816"/>
        <n v="26658"/>
        <n v="59399"/>
        <n v="118050"/>
        <n v="110279"/>
        <n v="21521"/>
        <n v="148860"/>
        <n v="26058"/>
        <n v="38469"/>
        <n v="19227"/>
        <n v="38009"/>
        <n v="174754"/>
        <n v="178988"/>
        <n v="193704"/>
        <n v="195133"/>
        <n v="76911"/>
        <n v="53941"/>
        <n v="31145"/>
        <n v="159009"/>
        <n v="79231"/>
        <n v="50560"/>
        <n v="190648"/>
        <n v="163516"/>
        <n v="171711"/>
        <n v="160629"/>
        <n v="176371"/>
        <n v="152032"/>
        <n v="7381"/>
        <n v="103893"/>
        <n v="193236"/>
        <n v="162654"/>
        <n v="39438"/>
        <n v="35412"/>
        <n v="102520"/>
        <n v="71882"/>
        <n v="76130"/>
        <n v="14556"/>
        <m/>
      </sharedItems>
    </cacheField>
    <cacheField name="Stock" numFmtId="0">
      <sharedItems containsString="0" containsBlank="1" containsNumber="1" containsInteger="1" minValue="5" maxValue="100"/>
    </cacheField>
    <cacheField name="Category" numFmtId="0">
      <sharedItems containsBlank="1" count="10">
        <s v="Computers"/>
        <s v="Accessories"/>
        <s v="Display"/>
        <s v="Audio"/>
        <s v="Memory"/>
        <s v="Office"/>
        <s v="Camera"/>
        <s v="Networking"/>
        <s v="Storage"/>
        <m/>
      </sharedItems>
    </cacheField>
    <cacheField name="Supplier" numFmtId="0">
      <sharedItems containsBlank="1"/>
    </cacheField>
  </cacheFields>
  <extLst>
    <ext xmlns:x14="http://schemas.microsoft.com/office/spreadsheetml/2009/9/main" uri="{725AE2AE-9491-48be-B2B4-4EB974FC3084}">
      <x14:pivotCacheDefinition pivotCacheId="485602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1"/>
    <x v="0"/>
    <x v="0"/>
    <n v="23"/>
    <x v="0"/>
    <s v="Dell"/>
  </r>
  <r>
    <n v="1002"/>
    <x v="1"/>
    <x v="1"/>
    <n v="71"/>
    <x v="1"/>
    <s v="Lenovo"/>
  </r>
  <r>
    <n v="1003"/>
    <x v="2"/>
    <x v="2"/>
    <n v="10"/>
    <x v="2"/>
    <s v="HP"/>
  </r>
  <r>
    <n v="1004"/>
    <x v="3"/>
    <x v="3"/>
    <n v="47"/>
    <x v="3"/>
    <s v="Canon"/>
  </r>
  <r>
    <n v="1005"/>
    <x v="2"/>
    <x v="4"/>
    <n v="30"/>
    <x v="2"/>
    <s v="Dell"/>
  </r>
  <r>
    <n v="1006"/>
    <x v="4"/>
    <x v="5"/>
    <n v="53"/>
    <x v="4"/>
    <s v="Sony"/>
  </r>
  <r>
    <n v="1007"/>
    <x v="5"/>
    <x v="6"/>
    <n v="15"/>
    <x v="5"/>
    <s v="Logitech"/>
  </r>
  <r>
    <n v="1008"/>
    <x v="6"/>
    <x v="7"/>
    <n v="20"/>
    <x v="3"/>
    <s v="Sony"/>
  </r>
  <r>
    <n v="1009"/>
    <x v="7"/>
    <x v="8"/>
    <n v="43"/>
    <x v="6"/>
    <s v="Sony"/>
  </r>
  <r>
    <n v="1010"/>
    <x v="1"/>
    <x v="9"/>
    <n v="41"/>
    <x v="7"/>
    <s v="Sony"/>
  </r>
  <r>
    <n v="1011"/>
    <x v="8"/>
    <x v="10"/>
    <n v="87"/>
    <x v="1"/>
    <s v="Samsung"/>
  </r>
  <r>
    <n v="1012"/>
    <x v="1"/>
    <x v="11"/>
    <n v="76"/>
    <x v="0"/>
    <s v="Corsair"/>
  </r>
  <r>
    <n v="1013"/>
    <x v="7"/>
    <x v="12"/>
    <n v="69"/>
    <x v="5"/>
    <s v="Sony"/>
  </r>
  <r>
    <n v="1014"/>
    <x v="0"/>
    <x v="13"/>
    <n v="50"/>
    <x v="3"/>
    <s v="Logitech"/>
  </r>
  <r>
    <n v="1015"/>
    <x v="6"/>
    <x v="14"/>
    <n v="20"/>
    <x v="1"/>
    <s v="Sony"/>
  </r>
  <r>
    <n v="1016"/>
    <x v="9"/>
    <x v="15"/>
    <n v="51"/>
    <x v="2"/>
    <s v="Logitech"/>
  </r>
  <r>
    <n v="1017"/>
    <x v="0"/>
    <x v="16"/>
    <n v="94"/>
    <x v="2"/>
    <s v="Logitech"/>
  </r>
  <r>
    <n v="1018"/>
    <x v="5"/>
    <x v="17"/>
    <n v="16"/>
    <x v="4"/>
    <s v="Sony"/>
  </r>
  <r>
    <n v="1019"/>
    <x v="8"/>
    <x v="18"/>
    <n v="39"/>
    <x v="6"/>
    <s v="Corsair"/>
  </r>
  <r>
    <n v="1020"/>
    <x v="0"/>
    <x v="19"/>
    <n v="70"/>
    <x v="0"/>
    <s v="Dell"/>
  </r>
  <r>
    <n v="1021"/>
    <x v="6"/>
    <x v="20"/>
    <n v="42"/>
    <x v="7"/>
    <s v="TP-Link"/>
  </r>
  <r>
    <n v="1022"/>
    <x v="9"/>
    <x v="21"/>
    <n v="73"/>
    <x v="0"/>
    <s v="Logitech"/>
  </r>
  <r>
    <n v="1023"/>
    <x v="3"/>
    <x v="22"/>
    <n v="20"/>
    <x v="2"/>
    <s v="Kingston"/>
  </r>
  <r>
    <n v="1024"/>
    <x v="4"/>
    <x v="23"/>
    <n v="67"/>
    <x v="4"/>
    <s v="Kingston"/>
  </r>
  <r>
    <n v="1025"/>
    <x v="6"/>
    <x v="24"/>
    <n v="66"/>
    <x v="6"/>
    <s v="HP"/>
  </r>
  <r>
    <n v="1026"/>
    <x v="2"/>
    <x v="25"/>
    <n v="99"/>
    <x v="6"/>
    <s v="Dell"/>
  </r>
  <r>
    <n v="1027"/>
    <x v="6"/>
    <x v="26"/>
    <n v="73"/>
    <x v="4"/>
    <s v="Corsair"/>
  </r>
  <r>
    <n v="1028"/>
    <x v="5"/>
    <x v="27"/>
    <n v="85"/>
    <x v="3"/>
    <s v="TP-Link"/>
  </r>
  <r>
    <n v="1029"/>
    <x v="4"/>
    <x v="28"/>
    <n v="76"/>
    <x v="2"/>
    <s v="Dell"/>
  </r>
  <r>
    <n v="1030"/>
    <x v="8"/>
    <x v="29"/>
    <n v="25"/>
    <x v="1"/>
    <s v="Dell"/>
  </r>
  <r>
    <n v="1031"/>
    <x v="0"/>
    <x v="30"/>
    <n v="75"/>
    <x v="5"/>
    <s v="Lenovo"/>
  </r>
  <r>
    <n v="1032"/>
    <x v="9"/>
    <x v="31"/>
    <n v="63"/>
    <x v="1"/>
    <s v="Logitech"/>
  </r>
  <r>
    <n v="1033"/>
    <x v="9"/>
    <x v="32"/>
    <n v="36"/>
    <x v="0"/>
    <s v="TP-Link"/>
  </r>
  <r>
    <n v="1034"/>
    <x v="8"/>
    <x v="33"/>
    <n v="29"/>
    <x v="5"/>
    <s v="Dell"/>
  </r>
  <r>
    <n v="1035"/>
    <x v="8"/>
    <x v="34"/>
    <n v="54"/>
    <x v="2"/>
    <s v="Logitech"/>
  </r>
  <r>
    <n v="1036"/>
    <x v="2"/>
    <x v="35"/>
    <n v="35"/>
    <x v="3"/>
    <s v="Lenovo"/>
  </r>
  <r>
    <n v="1037"/>
    <x v="4"/>
    <x v="36"/>
    <n v="56"/>
    <x v="3"/>
    <s v="Dell"/>
  </r>
  <r>
    <n v="1038"/>
    <x v="1"/>
    <x v="37"/>
    <n v="64"/>
    <x v="6"/>
    <s v="Lenovo"/>
  </r>
  <r>
    <n v="1039"/>
    <x v="8"/>
    <x v="38"/>
    <n v="81"/>
    <x v="7"/>
    <s v="Canon"/>
  </r>
  <r>
    <n v="1040"/>
    <x v="2"/>
    <x v="39"/>
    <n v="21"/>
    <x v="4"/>
    <s v="Canon"/>
  </r>
  <r>
    <n v="1041"/>
    <x v="1"/>
    <x v="40"/>
    <n v="19"/>
    <x v="3"/>
    <s v="Kingston"/>
  </r>
  <r>
    <n v="1042"/>
    <x v="5"/>
    <x v="41"/>
    <n v="100"/>
    <x v="7"/>
    <s v="Dell"/>
  </r>
  <r>
    <n v="1043"/>
    <x v="2"/>
    <x v="42"/>
    <n v="79"/>
    <x v="7"/>
    <s v="Corsair"/>
  </r>
  <r>
    <n v="1044"/>
    <x v="2"/>
    <x v="43"/>
    <n v="33"/>
    <x v="1"/>
    <s v="Lenovo"/>
  </r>
  <r>
    <n v="1045"/>
    <x v="2"/>
    <x v="44"/>
    <n v="20"/>
    <x v="2"/>
    <s v="Samsung"/>
  </r>
  <r>
    <n v="1046"/>
    <x v="6"/>
    <x v="45"/>
    <n v="61"/>
    <x v="7"/>
    <s v="Samsung"/>
  </r>
  <r>
    <n v="1047"/>
    <x v="7"/>
    <x v="46"/>
    <n v="64"/>
    <x v="5"/>
    <s v="Logitech"/>
  </r>
  <r>
    <n v="1048"/>
    <x v="4"/>
    <x v="47"/>
    <n v="72"/>
    <x v="2"/>
    <s v="Dell"/>
  </r>
  <r>
    <n v="1049"/>
    <x v="5"/>
    <x v="48"/>
    <n v="13"/>
    <x v="3"/>
    <s v="TP-Link"/>
  </r>
  <r>
    <n v="1050"/>
    <x v="3"/>
    <x v="49"/>
    <n v="20"/>
    <x v="2"/>
    <s v="HP"/>
  </r>
  <r>
    <n v="1051"/>
    <x v="2"/>
    <x v="50"/>
    <n v="76"/>
    <x v="1"/>
    <s v="Kingston"/>
  </r>
  <r>
    <n v="1052"/>
    <x v="4"/>
    <x v="51"/>
    <n v="24"/>
    <x v="8"/>
    <s v="Dell"/>
  </r>
  <r>
    <n v="1053"/>
    <x v="6"/>
    <x v="52"/>
    <n v="27"/>
    <x v="2"/>
    <s v="Samsung"/>
  </r>
  <r>
    <n v="1054"/>
    <x v="0"/>
    <x v="53"/>
    <n v="75"/>
    <x v="8"/>
    <s v="Dell"/>
  </r>
  <r>
    <n v="1055"/>
    <x v="3"/>
    <x v="54"/>
    <n v="12"/>
    <x v="7"/>
    <s v="Samsung"/>
  </r>
  <r>
    <n v="1056"/>
    <x v="5"/>
    <x v="55"/>
    <n v="14"/>
    <x v="4"/>
    <s v="Sony"/>
  </r>
  <r>
    <n v="1057"/>
    <x v="3"/>
    <x v="56"/>
    <n v="62"/>
    <x v="1"/>
    <s v="Logitech"/>
  </r>
  <r>
    <n v="1058"/>
    <x v="6"/>
    <x v="57"/>
    <n v="66"/>
    <x v="0"/>
    <s v="Dell"/>
  </r>
  <r>
    <n v="1059"/>
    <x v="1"/>
    <x v="58"/>
    <n v="86"/>
    <x v="5"/>
    <s v="HP"/>
  </r>
  <r>
    <n v="1060"/>
    <x v="6"/>
    <x v="59"/>
    <n v="46"/>
    <x v="5"/>
    <s v="HP"/>
  </r>
  <r>
    <n v="1061"/>
    <x v="7"/>
    <x v="60"/>
    <n v="42"/>
    <x v="6"/>
    <s v="Logitech"/>
  </r>
  <r>
    <n v="1062"/>
    <x v="0"/>
    <x v="61"/>
    <n v="69"/>
    <x v="8"/>
    <s v="HP"/>
  </r>
  <r>
    <n v="1063"/>
    <x v="4"/>
    <x v="62"/>
    <n v="80"/>
    <x v="6"/>
    <s v="TP-Link"/>
  </r>
  <r>
    <n v="1064"/>
    <x v="9"/>
    <x v="63"/>
    <n v="41"/>
    <x v="5"/>
    <s v="Logitech"/>
  </r>
  <r>
    <n v="1065"/>
    <x v="0"/>
    <x v="64"/>
    <n v="43"/>
    <x v="5"/>
    <s v="TP-Link"/>
  </r>
  <r>
    <n v="1066"/>
    <x v="1"/>
    <x v="65"/>
    <n v="39"/>
    <x v="1"/>
    <s v="HP"/>
  </r>
  <r>
    <n v="1067"/>
    <x v="6"/>
    <x v="66"/>
    <n v="18"/>
    <x v="1"/>
    <s v="Corsair"/>
  </r>
  <r>
    <n v="1068"/>
    <x v="0"/>
    <x v="67"/>
    <n v="70"/>
    <x v="7"/>
    <s v="Samsung"/>
  </r>
  <r>
    <n v="1069"/>
    <x v="5"/>
    <x v="68"/>
    <n v="9"/>
    <x v="7"/>
    <s v="Canon"/>
  </r>
  <r>
    <n v="1070"/>
    <x v="9"/>
    <x v="69"/>
    <n v="77"/>
    <x v="6"/>
    <s v="Lenovo"/>
  </r>
  <r>
    <n v="1071"/>
    <x v="7"/>
    <x v="70"/>
    <n v="6"/>
    <x v="2"/>
    <s v="Logitech"/>
  </r>
  <r>
    <n v="1072"/>
    <x v="7"/>
    <x v="71"/>
    <n v="19"/>
    <x v="8"/>
    <s v="TP-Link"/>
  </r>
  <r>
    <n v="1073"/>
    <x v="0"/>
    <x v="72"/>
    <n v="88"/>
    <x v="0"/>
    <s v="Dell"/>
  </r>
  <r>
    <n v="1074"/>
    <x v="7"/>
    <x v="73"/>
    <n v="35"/>
    <x v="1"/>
    <s v="Samsung"/>
  </r>
  <r>
    <n v="1075"/>
    <x v="3"/>
    <x v="74"/>
    <n v="69"/>
    <x v="2"/>
    <s v="Samsung"/>
  </r>
  <r>
    <n v="1076"/>
    <x v="9"/>
    <x v="75"/>
    <n v="89"/>
    <x v="6"/>
    <s v="Dell"/>
  </r>
  <r>
    <n v="1077"/>
    <x v="6"/>
    <x v="76"/>
    <n v="69"/>
    <x v="7"/>
    <s v="Sony"/>
  </r>
  <r>
    <n v="1078"/>
    <x v="9"/>
    <x v="77"/>
    <n v="23"/>
    <x v="4"/>
    <s v="Canon"/>
  </r>
  <r>
    <n v="1079"/>
    <x v="2"/>
    <x v="78"/>
    <n v="85"/>
    <x v="8"/>
    <s v="Samsung"/>
  </r>
  <r>
    <n v="1080"/>
    <x v="3"/>
    <x v="79"/>
    <n v="90"/>
    <x v="8"/>
    <s v="HP"/>
  </r>
  <r>
    <n v="1081"/>
    <x v="6"/>
    <x v="80"/>
    <n v="88"/>
    <x v="7"/>
    <s v="TP-Link"/>
  </r>
  <r>
    <n v="1082"/>
    <x v="4"/>
    <x v="81"/>
    <n v="50"/>
    <x v="2"/>
    <s v="Samsung"/>
  </r>
  <r>
    <n v="1083"/>
    <x v="6"/>
    <x v="82"/>
    <n v="58"/>
    <x v="2"/>
    <s v="Lenovo"/>
  </r>
  <r>
    <n v="1084"/>
    <x v="3"/>
    <x v="83"/>
    <n v="23"/>
    <x v="0"/>
    <s v="Samsung"/>
  </r>
  <r>
    <n v="1085"/>
    <x v="0"/>
    <x v="84"/>
    <n v="99"/>
    <x v="5"/>
    <s v="Dell"/>
  </r>
  <r>
    <n v="1086"/>
    <x v="1"/>
    <x v="85"/>
    <n v="40"/>
    <x v="3"/>
    <s v="Corsair"/>
  </r>
  <r>
    <n v="1087"/>
    <x v="0"/>
    <x v="86"/>
    <n v="40"/>
    <x v="2"/>
    <s v="HP"/>
  </r>
  <r>
    <n v="1088"/>
    <x v="4"/>
    <x v="87"/>
    <n v="72"/>
    <x v="8"/>
    <s v="Logitech"/>
  </r>
  <r>
    <n v="1089"/>
    <x v="1"/>
    <x v="88"/>
    <n v="31"/>
    <x v="0"/>
    <s v="TP-Link"/>
  </r>
  <r>
    <n v="1090"/>
    <x v="9"/>
    <x v="89"/>
    <n v="39"/>
    <x v="1"/>
    <s v="Corsair"/>
  </r>
  <r>
    <n v="1091"/>
    <x v="6"/>
    <x v="90"/>
    <n v="75"/>
    <x v="1"/>
    <s v="Canon"/>
  </r>
  <r>
    <n v="1092"/>
    <x v="7"/>
    <x v="91"/>
    <n v="78"/>
    <x v="1"/>
    <s v="Corsair"/>
  </r>
  <r>
    <n v="1093"/>
    <x v="5"/>
    <x v="92"/>
    <n v="49"/>
    <x v="0"/>
    <s v="Sony"/>
  </r>
  <r>
    <n v="1094"/>
    <x v="2"/>
    <x v="93"/>
    <n v="50"/>
    <x v="1"/>
    <s v="Corsair"/>
  </r>
  <r>
    <n v="1095"/>
    <x v="9"/>
    <x v="94"/>
    <n v="33"/>
    <x v="0"/>
    <s v="Samsung"/>
  </r>
  <r>
    <n v="1096"/>
    <x v="9"/>
    <x v="95"/>
    <n v="16"/>
    <x v="6"/>
    <s v="Canon"/>
  </r>
  <r>
    <n v="1097"/>
    <x v="1"/>
    <x v="96"/>
    <n v="49"/>
    <x v="1"/>
    <s v="Dell"/>
  </r>
  <r>
    <n v="1098"/>
    <x v="0"/>
    <x v="97"/>
    <n v="21"/>
    <x v="1"/>
    <s v="Canon"/>
  </r>
  <r>
    <n v="1099"/>
    <x v="1"/>
    <x v="98"/>
    <n v="79"/>
    <x v="5"/>
    <s v="Logitech"/>
  </r>
  <r>
    <n v="1100"/>
    <x v="0"/>
    <x v="99"/>
    <n v="18"/>
    <x v="7"/>
    <s v="Logitech"/>
  </r>
  <r>
    <n v="1101"/>
    <x v="8"/>
    <x v="100"/>
    <n v="37"/>
    <x v="5"/>
    <s v="Canon"/>
  </r>
  <r>
    <n v="1102"/>
    <x v="8"/>
    <x v="101"/>
    <n v="14"/>
    <x v="5"/>
    <s v="Logitech"/>
  </r>
  <r>
    <n v="1103"/>
    <x v="4"/>
    <x v="102"/>
    <n v="74"/>
    <x v="4"/>
    <s v="Samsung"/>
  </r>
  <r>
    <n v="1104"/>
    <x v="1"/>
    <x v="103"/>
    <n v="39"/>
    <x v="0"/>
    <s v="Samsung"/>
  </r>
  <r>
    <n v="1105"/>
    <x v="3"/>
    <x v="104"/>
    <n v="6"/>
    <x v="5"/>
    <s v="TP-Link"/>
  </r>
  <r>
    <n v="1106"/>
    <x v="2"/>
    <x v="105"/>
    <n v="63"/>
    <x v="5"/>
    <s v="Canon"/>
  </r>
  <r>
    <n v="1107"/>
    <x v="8"/>
    <x v="106"/>
    <n v="97"/>
    <x v="8"/>
    <s v="Canon"/>
  </r>
  <r>
    <n v="1108"/>
    <x v="8"/>
    <x v="107"/>
    <n v="68"/>
    <x v="3"/>
    <s v="Kingston"/>
  </r>
  <r>
    <n v="1109"/>
    <x v="2"/>
    <x v="108"/>
    <n v="6"/>
    <x v="6"/>
    <s v="TP-Link"/>
  </r>
  <r>
    <n v="1110"/>
    <x v="7"/>
    <x v="109"/>
    <n v="65"/>
    <x v="6"/>
    <s v="HP"/>
  </r>
  <r>
    <n v="1111"/>
    <x v="7"/>
    <x v="110"/>
    <n v="28"/>
    <x v="5"/>
    <s v="Dell"/>
  </r>
  <r>
    <n v="1112"/>
    <x v="0"/>
    <x v="111"/>
    <n v="12"/>
    <x v="5"/>
    <s v="TP-Link"/>
  </r>
  <r>
    <n v="1113"/>
    <x v="2"/>
    <x v="112"/>
    <n v="53"/>
    <x v="5"/>
    <s v="Kingston"/>
  </r>
  <r>
    <n v="1114"/>
    <x v="7"/>
    <x v="113"/>
    <n v="41"/>
    <x v="1"/>
    <s v="Sony"/>
  </r>
  <r>
    <n v="1115"/>
    <x v="3"/>
    <x v="114"/>
    <n v="65"/>
    <x v="8"/>
    <s v="Kingston"/>
  </r>
  <r>
    <n v="1116"/>
    <x v="1"/>
    <x v="115"/>
    <n v="67"/>
    <x v="2"/>
    <s v="HP"/>
  </r>
  <r>
    <n v="1117"/>
    <x v="7"/>
    <x v="116"/>
    <n v="13"/>
    <x v="2"/>
    <s v="Samsung"/>
  </r>
  <r>
    <n v="1118"/>
    <x v="7"/>
    <x v="117"/>
    <n v="13"/>
    <x v="7"/>
    <s v="Kingston"/>
  </r>
  <r>
    <n v="1119"/>
    <x v="4"/>
    <x v="118"/>
    <n v="99"/>
    <x v="0"/>
    <s v="Lenovo"/>
  </r>
  <r>
    <n v="1120"/>
    <x v="1"/>
    <x v="119"/>
    <n v="68"/>
    <x v="4"/>
    <s v="TP-Link"/>
  </r>
  <r>
    <n v="1121"/>
    <x v="0"/>
    <x v="120"/>
    <n v="67"/>
    <x v="2"/>
    <s v="Logitech"/>
  </r>
  <r>
    <n v="1122"/>
    <x v="7"/>
    <x v="121"/>
    <n v="9"/>
    <x v="8"/>
    <s v="Sony"/>
  </r>
  <r>
    <n v="1123"/>
    <x v="1"/>
    <x v="122"/>
    <n v="82"/>
    <x v="2"/>
    <s v="Samsung"/>
  </r>
  <r>
    <n v="1124"/>
    <x v="9"/>
    <x v="123"/>
    <n v="37"/>
    <x v="8"/>
    <s v="Corsair"/>
  </r>
  <r>
    <n v="1125"/>
    <x v="3"/>
    <x v="124"/>
    <n v="69"/>
    <x v="7"/>
    <s v="HP"/>
  </r>
  <r>
    <n v="1126"/>
    <x v="2"/>
    <x v="125"/>
    <n v="64"/>
    <x v="2"/>
    <s v="Dell"/>
  </r>
  <r>
    <n v="1127"/>
    <x v="8"/>
    <x v="126"/>
    <n v="90"/>
    <x v="0"/>
    <s v="Canon"/>
  </r>
  <r>
    <n v="1128"/>
    <x v="6"/>
    <x v="127"/>
    <n v="94"/>
    <x v="8"/>
    <s v="Sony"/>
  </r>
  <r>
    <n v="1129"/>
    <x v="8"/>
    <x v="128"/>
    <n v="13"/>
    <x v="6"/>
    <s v="Samsung"/>
  </r>
  <r>
    <n v="1130"/>
    <x v="1"/>
    <x v="129"/>
    <n v="18"/>
    <x v="1"/>
    <s v="TP-Link"/>
  </r>
  <r>
    <n v="1131"/>
    <x v="8"/>
    <x v="130"/>
    <n v="44"/>
    <x v="1"/>
    <s v="Sony"/>
  </r>
  <r>
    <n v="1132"/>
    <x v="0"/>
    <x v="131"/>
    <n v="84"/>
    <x v="5"/>
    <s v="Canon"/>
  </r>
  <r>
    <n v="1133"/>
    <x v="0"/>
    <x v="132"/>
    <n v="71"/>
    <x v="2"/>
    <s v="Logitech"/>
  </r>
  <r>
    <n v="1134"/>
    <x v="5"/>
    <x v="133"/>
    <n v="27"/>
    <x v="3"/>
    <s v="HP"/>
  </r>
  <r>
    <n v="1135"/>
    <x v="6"/>
    <x v="134"/>
    <n v="57"/>
    <x v="1"/>
    <s v="TP-Link"/>
  </r>
  <r>
    <n v="1136"/>
    <x v="1"/>
    <x v="135"/>
    <n v="57"/>
    <x v="2"/>
    <s v="TP-Link"/>
  </r>
  <r>
    <n v="1137"/>
    <x v="3"/>
    <x v="136"/>
    <n v="62"/>
    <x v="5"/>
    <s v="Sony"/>
  </r>
  <r>
    <n v="1138"/>
    <x v="5"/>
    <x v="137"/>
    <n v="7"/>
    <x v="1"/>
    <s v="HP"/>
  </r>
  <r>
    <n v="1139"/>
    <x v="4"/>
    <x v="138"/>
    <n v="33"/>
    <x v="7"/>
    <s v="Sony"/>
  </r>
  <r>
    <n v="1140"/>
    <x v="1"/>
    <x v="139"/>
    <n v="29"/>
    <x v="8"/>
    <s v="Kingston"/>
  </r>
  <r>
    <n v="1141"/>
    <x v="4"/>
    <x v="140"/>
    <n v="26"/>
    <x v="1"/>
    <s v="Sony"/>
  </r>
  <r>
    <n v="1142"/>
    <x v="6"/>
    <x v="141"/>
    <n v="57"/>
    <x v="0"/>
    <s v="Dell"/>
  </r>
  <r>
    <n v="1143"/>
    <x v="5"/>
    <x v="142"/>
    <n v="74"/>
    <x v="8"/>
    <s v="Dell"/>
  </r>
  <r>
    <n v="1144"/>
    <x v="6"/>
    <x v="143"/>
    <n v="18"/>
    <x v="6"/>
    <s v="Canon"/>
  </r>
  <r>
    <n v="1145"/>
    <x v="8"/>
    <x v="144"/>
    <n v="53"/>
    <x v="7"/>
    <s v="TP-Link"/>
  </r>
  <r>
    <n v="1146"/>
    <x v="7"/>
    <x v="145"/>
    <n v="70"/>
    <x v="8"/>
    <s v="Canon"/>
  </r>
  <r>
    <n v="1147"/>
    <x v="7"/>
    <x v="146"/>
    <n v="67"/>
    <x v="4"/>
    <s v="Kingston"/>
  </r>
  <r>
    <n v="1148"/>
    <x v="1"/>
    <x v="147"/>
    <n v="28"/>
    <x v="3"/>
    <s v="TP-Link"/>
  </r>
  <r>
    <n v="1149"/>
    <x v="9"/>
    <x v="148"/>
    <n v="97"/>
    <x v="8"/>
    <s v="Lenovo"/>
  </r>
  <r>
    <n v="1150"/>
    <x v="3"/>
    <x v="149"/>
    <n v="48"/>
    <x v="3"/>
    <s v="HP"/>
  </r>
  <r>
    <n v="1151"/>
    <x v="0"/>
    <x v="150"/>
    <n v="89"/>
    <x v="8"/>
    <s v="Sony"/>
  </r>
  <r>
    <n v="1152"/>
    <x v="5"/>
    <x v="151"/>
    <n v="24"/>
    <x v="4"/>
    <s v="Lenovo"/>
  </r>
  <r>
    <n v="1153"/>
    <x v="3"/>
    <x v="152"/>
    <n v="45"/>
    <x v="2"/>
    <s v="Corsair"/>
  </r>
  <r>
    <n v="1154"/>
    <x v="1"/>
    <x v="153"/>
    <n v="69"/>
    <x v="1"/>
    <s v="HP"/>
  </r>
  <r>
    <n v="1155"/>
    <x v="8"/>
    <x v="154"/>
    <n v="37"/>
    <x v="6"/>
    <s v="HP"/>
  </r>
  <r>
    <n v="1156"/>
    <x v="9"/>
    <x v="155"/>
    <n v="6"/>
    <x v="5"/>
    <s v="HP"/>
  </r>
  <r>
    <n v="1157"/>
    <x v="0"/>
    <x v="156"/>
    <n v="22"/>
    <x v="1"/>
    <s v="TP-Link"/>
  </r>
  <r>
    <n v="1158"/>
    <x v="9"/>
    <x v="157"/>
    <n v="51"/>
    <x v="4"/>
    <s v="TP-Link"/>
  </r>
  <r>
    <n v="1159"/>
    <x v="6"/>
    <x v="158"/>
    <n v="86"/>
    <x v="0"/>
    <s v="Corsair"/>
  </r>
  <r>
    <n v="1160"/>
    <x v="0"/>
    <x v="159"/>
    <n v="8"/>
    <x v="5"/>
    <s v="Canon"/>
  </r>
  <r>
    <n v="1161"/>
    <x v="4"/>
    <x v="160"/>
    <n v="15"/>
    <x v="2"/>
    <s v="Dell"/>
  </r>
  <r>
    <n v="1162"/>
    <x v="5"/>
    <x v="161"/>
    <n v="42"/>
    <x v="6"/>
    <s v="Samsung"/>
  </r>
  <r>
    <n v="1163"/>
    <x v="3"/>
    <x v="162"/>
    <n v="94"/>
    <x v="4"/>
    <s v="Dell"/>
  </r>
  <r>
    <n v="1164"/>
    <x v="7"/>
    <x v="163"/>
    <n v="92"/>
    <x v="6"/>
    <s v="Lenovo"/>
  </r>
  <r>
    <n v="1165"/>
    <x v="5"/>
    <x v="164"/>
    <n v="10"/>
    <x v="0"/>
    <s v="HP"/>
  </r>
  <r>
    <n v="1166"/>
    <x v="3"/>
    <x v="165"/>
    <n v="92"/>
    <x v="3"/>
    <s v="Kingston"/>
  </r>
  <r>
    <n v="1167"/>
    <x v="8"/>
    <x v="166"/>
    <n v="58"/>
    <x v="6"/>
    <s v="Sony"/>
  </r>
  <r>
    <n v="1168"/>
    <x v="8"/>
    <x v="167"/>
    <n v="93"/>
    <x v="0"/>
    <s v="Samsung"/>
  </r>
  <r>
    <n v="1169"/>
    <x v="1"/>
    <x v="168"/>
    <n v="91"/>
    <x v="5"/>
    <s v="Corsair"/>
  </r>
  <r>
    <n v="1170"/>
    <x v="3"/>
    <x v="169"/>
    <n v="88"/>
    <x v="1"/>
    <s v="Dell"/>
  </r>
  <r>
    <n v="1171"/>
    <x v="8"/>
    <x v="170"/>
    <n v="30"/>
    <x v="4"/>
    <s v="HP"/>
  </r>
  <r>
    <n v="1172"/>
    <x v="1"/>
    <x v="171"/>
    <n v="73"/>
    <x v="7"/>
    <s v="Logitech"/>
  </r>
  <r>
    <n v="1173"/>
    <x v="9"/>
    <x v="172"/>
    <n v="28"/>
    <x v="0"/>
    <s v="Canon"/>
  </r>
  <r>
    <n v="1174"/>
    <x v="5"/>
    <x v="173"/>
    <n v="53"/>
    <x v="8"/>
    <s v="Lenovo"/>
  </r>
  <r>
    <n v="1175"/>
    <x v="1"/>
    <x v="174"/>
    <n v="16"/>
    <x v="2"/>
    <s v="Kingston"/>
  </r>
  <r>
    <n v="1176"/>
    <x v="3"/>
    <x v="175"/>
    <n v="42"/>
    <x v="7"/>
    <s v="Sony"/>
  </r>
  <r>
    <n v="1177"/>
    <x v="9"/>
    <x v="176"/>
    <n v="29"/>
    <x v="1"/>
    <s v="Dell"/>
  </r>
  <r>
    <n v="1178"/>
    <x v="4"/>
    <x v="177"/>
    <n v="75"/>
    <x v="2"/>
    <s v="HP"/>
  </r>
  <r>
    <n v="1179"/>
    <x v="6"/>
    <x v="178"/>
    <n v="96"/>
    <x v="6"/>
    <s v="Sony"/>
  </r>
  <r>
    <n v="1180"/>
    <x v="7"/>
    <x v="179"/>
    <n v="100"/>
    <x v="1"/>
    <s v="Kingston"/>
  </r>
  <r>
    <n v="1181"/>
    <x v="9"/>
    <x v="180"/>
    <n v="29"/>
    <x v="7"/>
    <s v="HP"/>
  </r>
  <r>
    <n v="1182"/>
    <x v="7"/>
    <x v="181"/>
    <n v="97"/>
    <x v="1"/>
    <s v="Corsair"/>
  </r>
  <r>
    <n v="1183"/>
    <x v="3"/>
    <x v="182"/>
    <n v="86"/>
    <x v="5"/>
    <s v="Kingston"/>
  </r>
  <r>
    <n v="1184"/>
    <x v="7"/>
    <x v="183"/>
    <n v="51"/>
    <x v="1"/>
    <s v="Sony"/>
  </r>
  <r>
    <n v="1185"/>
    <x v="9"/>
    <x v="184"/>
    <n v="30"/>
    <x v="1"/>
    <s v="Lenovo"/>
  </r>
  <r>
    <n v="1186"/>
    <x v="4"/>
    <x v="185"/>
    <n v="38"/>
    <x v="4"/>
    <s v="Corsair"/>
  </r>
  <r>
    <n v="1187"/>
    <x v="4"/>
    <x v="186"/>
    <n v="52"/>
    <x v="8"/>
    <s v="Lenovo"/>
  </r>
  <r>
    <n v="1188"/>
    <x v="1"/>
    <x v="187"/>
    <n v="70"/>
    <x v="8"/>
    <s v="Canon"/>
  </r>
  <r>
    <n v="1189"/>
    <x v="3"/>
    <x v="188"/>
    <n v="79"/>
    <x v="0"/>
    <s v="Canon"/>
  </r>
  <r>
    <n v="1190"/>
    <x v="8"/>
    <x v="189"/>
    <n v="86"/>
    <x v="6"/>
    <s v="Corsair"/>
  </r>
  <r>
    <n v="1191"/>
    <x v="3"/>
    <x v="190"/>
    <n v="45"/>
    <x v="4"/>
    <s v="HP"/>
  </r>
  <r>
    <n v="1192"/>
    <x v="6"/>
    <x v="191"/>
    <n v="70"/>
    <x v="8"/>
    <s v="Dell"/>
  </r>
  <r>
    <n v="1193"/>
    <x v="3"/>
    <x v="192"/>
    <n v="47"/>
    <x v="1"/>
    <s v="Canon"/>
  </r>
  <r>
    <n v="1194"/>
    <x v="4"/>
    <x v="193"/>
    <n v="76"/>
    <x v="6"/>
    <s v="HP"/>
  </r>
  <r>
    <n v="1195"/>
    <x v="3"/>
    <x v="194"/>
    <n v="48"/>
    <x v="3"/>
    <s v="HP"/>
  </r>
  <r>
    <n v="1196"/>
    <x v="2"/>
    <x v="195"/>
    <n v="52"/>
    <x v="5"/>
    <s v="Samsung"/>
  </r>
  <r>
    <n v="1197"/>
    <x v="9"/>
    <x v="196"/>
    <n v="36"/>
    <x v="4"/>
    <s v="Kingston"/>
  </r>
  <r>
    <n v="1198"/>
    <x v="4"/>
    <x v="197"/>
    <n v="70"/>
    <x v="3"/>
    <s v="Canon"/>
  </r>
  <r>
    <n v="1199"/>
    <x v="1"/>
    <x v="198"/>
    <n v="76"/>
    <x v="7"/>
    <s v="Lenovo"/>
  </r>
  <r>
    <n v="1200"/>
    <x v="5"/>
    <x v="199"/>
    <n v="27"/>
    <x v="5"/>
    <s v="Kingston"/>
  </r>
  <r>
    <n v="1201"/>
    <x v="8"/>
    <x v="200"/>
    <n v="11"/>
    <x v="3"/>
    <s v="Kingston"/>
  </r>
  <r>
    <n v="1202"/>
    <x v="5"/>
    <x v="201"/>
    <n v="63"/>
    <x v="4"/>
    <s v="Canon"/>
  </r>
  <r>
    <n v="1203"/>
    <x v="9"/>
    <x v="202"/>
    <n v="29"/>
    <x v="8"/>
    <s v="Lenovo"/>
  </r>
  <r>
    <n v="1204"/>
    <x v="1"/>
    <x v="203"/>
    <n v="5"/>
    <x v="4"/>
    <s v="Kingston"/>
  </r>
  <r>
    <n v="1205"/>
    <x v="1"/>
    <x v="204"/>
    <n v="77"/>
    <x v="3"/>
    <s v="Sony"/>
  </r>
  <r>
    <n v="1206"/>
    <x v="5"/>
    <x v="205"/>
    <n v="77"/>
    <x v="1"/>
    <s v="Sony"/>
  </r>
  <r>
    <n v="1207"/>
    <x v="0"/>
    <x v="206"/>
    <n v="78"/>
    <x v="0"/>
    <s v="Logitech"/>
  </r>
  <r>
    <n v="1208"/>
    <x v="4"/>
    <x v="207"/>
    <n v="92"/>
    <x v="1"/>
    <s v="TP-Link"/>
  </r>
  <r>
    <n v="1209"/>
    <x v="1"/>
    <x v="208"/>
    <n v="98"/>
    <x v="3"/>
    <s v="Corsair"/>
  </r>
  <r>
    <n v="1210"/>
    <x v="6"/>
    <x v="209"/>
    <n v="93"/>
    <x v="1"/>
    <s v="Corsair"/>
  </r>
  <r>
    <n v="1211"/>
    <x v="9"/>
    <x v="210"/>
    <n v="87"/>
    <x v="3"/>
    <s v="TP-Link"/>
  </r>
  <r>
    <n v="1212"/>
    <x v="8"/>
    <x v="211"/>
    <n v="83"/>
    <x v="3"/>
    <s v="Sony"/>
  </r>
  <r>
    <n v="1213"/>
    <x v="1"/>
    <x v="212"/>
    <n v="99"/>
    <x v="1"/>
    <s v="Logitech"/>
  </r>
  <r>
    <n v="1214"/>
    <x v="0"/>
    <x v="213"/>
    <n v="40"/>
    <x v="6"/>
    <s v="Sony"/>
  </r>
  <r>
    <n v="1215"/>
    <x v="1"/>
    <x v="214"/>
    <n v="40"/>
    <x v="3"/>
    <s v="Sony"/>
  </r>
  <r>
    <n v="1216"/>
    <x v="1"/>
    <x v="215"/>
    <n v="93"/>
    <x v="6"/>
    <s v="Corsair"/>
  </r>
  <r>
    <n v="1217"/>
    <x v="9"/>
    <x v="216"/>
    <n v="33"/>
    <x v="6"/>
    <s v="Sony"/>
  </r>
  <r>
    <n v="1218"/>
    <x v="3"/>
    <x v="217"/>
    <n v="66"/>
    <x v="2"/>
    <s v="Kingston"/>
  </r>
  <r>
    <n v="1219"/>
    <x v="3"/>
    <x v="218"/>
    <n v="96"/>
    <x v="0"/>
    <s v="Sony"/>
  </r>
  <r>
    <n v="1220"/>
    <x v="0"/>
    <x v="219"/>
    <n v="75"/>
    <x v="8"/>
    <s v="Dell"/>
  </r>
  <r>
    <n v="1221"/>
    <x v="9"/>
    <x v="220"/>
    <n v="89"/>
    <x v="3"/>
    <s v="Logitech"/>
  </r>
  <r>
    <n v="1222"/>
    <x v="1"/>
    <x v="221"/>
    <n v="57"/>
    <x v="5"/>
    <s v="HP"/>
  </r>
  <r>
    <n v="1223"/>
    <x v="2"/>
    <x v="222"/>
    <n v="50"/>
    <x v="3"/>
    <s v="Samsung"/>
  </r>
  <r>
    <n v="1224"/>
    <x v="2"/>
    <x v="223"/>
    <n v="32"/>
    <x v="3"/>
    <s v="HP"/>
  </r>
  <r>
    <n v="1225"/>
    <x v="0"/>
    <x v="224"/>
    <n v="67"/>
    <x v="5"/>
    <s v="Samsung"/>
  </r>
  <r>
    <n v="1226"/>
    <x v="0"/>
    <x v="225"/>
    <n v="71"/>
    <x v="6"/>
    <s v="Corsair"/>
  </r>
  <r>
    <n v="1227"/>
    <x v="8"/>
    <x v="226"/>
    <n v="6"/>
    <x v="0"/>
    <s v="Logitech"/>
  </r>
  <r>
    <n v="1228"/>
    <x v="7"/>
    <x v="227"/>
    <n v="7"/>
    <x v="1"/>
    <s v="Samsung"/>
  </r>
  <r>
    <n v="1229"/>
    <x v="7"/>
    <x v="228"/>
    <n v="52"/>
    <x v="6"/>
    <s v="TP-Link"/>
  </r>
  <r>
    <n v="1230"/>
    <x v="5"/>
    <x v="229"/>
    <n v="57"/>
    <x v="7"/>
    <s v="Corsair"/>
  </r>
  <r>
    <n v="1231"/>
    <x v="8"/>
    <x v="230"/>
    <n v="89"/>
    <x v="7"/>
    <s v="Sony"/>
  </r>
  <r>
    <n v="1232"/>
    <x v="0"/>
    <x v="231"/>
    <n v="7"/>
    <x v="4"/>
    <s v="Corsair"/>
  </r>
  <r>
    <n v="1233"/>
    <x v="8"/>
    <x v="232"/>
    <n v="79"/>
    <x v="4"/>
    <s v="HP"/>
  </r>
  <r>
    <n v="1234"/>
    <x v="1"/>
    <x v="233"/>
    <n v="7"/>
    <x v="6"/>
    <s v="TP-Link"/>
  </r>
  <r>
    <n v="1235"/>
    <x v="5"/>
    <x v="234"/>
    <n v="91"/>
    <x v="7"/>
    <s v="Samsung"/>
  </r>
  <r>
    <n v="1236"/>
    <x v="8"/>
    <x v="235"/>
    <n v="100"/>
    <x v="6"/>
    <s v="Kingston"/>
  </r>
  <r>
    <n v="1237"/>
    <x v="2"/>
    <x v="236"/>
    <n v="5"/>
    <x v="4"/>
    <s v="Samsung"/>
  </r>
  <r>
    <n v="1238"/>
    <x v="0"/>
    <x v="237"/>
    <n v="87"/>
    <x v="8"/>
    <s v="Samsung"/>
  </r>
  <r>
    <n v="1239"/>
    <x v="0"/>
    <x v="238"/>
    <n v="25"/>
    <x v="6"/>
    <s v="Logitech"/>
  </r>
  <r>
    <n v="1240"/>
    <x v="5"/>
    <x v="239"/>
    <n v="8"/>
    <x v="2"/>
    <s v="Kingston"/>
  </r>
  <r>
    <n v="1241"/>
    <x v="3"/>
    <x v="240"/>
    <n v="23"/>
    <x v="5"/>
    <s v="Canon"/>
  </r>
  <r>
    <n v="1242"/>
    <x v="9"/>
    <x v="241"/>
    <n v="7"/>
    <x v="8"/>
    <s v="Samsung"/>
  </r>
  <r>
    <n v="1243"/>
    <x v="7"/>
    <x v="242"/>
    <n v="20"/>
    <x v="2"/>
    <s v="Canon"/>
  </r>
  <r>
    <n v="1244"/>
    <x v="8"/>
    <x v="243"/>
    <n v="13"/>
    <x v="6"/>
    <s v="Samsung"/>
  </r>
  <r>
    <n v="1245"/>
    <x v="6"/>
    <x v="244"/>
    <n v="68"/>
    <x v="0"/>
    <s v="Samsung"/>
  </r>
  <r>
    <n v="1246"/>
    <x v="0"/>
    <x v="245"/>
    <n v="83"/>
    <x v="5"/>
    <s v="Samsung"/>
  </r>
  <r>
    <n v="1247"/>
    <x v="3"/>
    <x v="246"/>
    <n v="67"/>
    <x v="4"/>
    <s v="Sony"/>
  </r>
  <r>
    <n v="1248"/>
    <x v="2"/>
    <x v="247"/>
    <n v="19"/>
    <x v="5"/>
    <s v="Kingston"/>
  </r>
  <r>
    <n v="1249"/>
    <x v="6"/>
    <x v="191"/>
    <n v="97"/>
    <x v="2"/>
    <s v="Dell"/>
  </r>
  <r>
    <n v="1250"/>
    <x v="5"/>
    <x v="248"/>
    <n v="75"/>
    <x v="3"/>
    <s v="HP"/>
  </r>
  <r>
    <n v="1251"/>
    <x v="8"/>
    <x v="249"/>
    <n v="26"/>
    <x v="5"/>
    <s v="Sony"/>
  </r>
  <r>
    <n v="1252"/>
    <x v="6"/>
    <x v="250"/>
    <n v="99"/>
    <x v="6"/>
    <s v="Sony"/>
  </r>
  <r>
    <n v="1253"/>
    <x v="0"/>
    <x v="251"/>
    <n v="17"/>
    <x v="1"/>
    <s v="Sony"/>
  </r>
  <r>
    <n v="1254"/>
    <x v="4"/>
    <x v="252"/>
    <n v="94"/>
    <x v="6"/>
    <s v="Dell"/>
  </r>
  <r>
    <n v="1255"/>
    <x v="1"/>
    <x v="253"/>
    <n v="35"/>
    <x v="3"/>
    <s v="Lenovo"/>
  </r>
  <r>
    <n v="1256"/>
    <x v="9"/>
    <x v="254"/>
    <n v="68"/>
    <x v="3"/>
    <s v="Lenovo"/>
  </r>
  <r>
    <n v="1257"/>
    <x v="4"/>
    <x v="255"/>
    <n v="22"/>
    <x v="4"/>
    <s v="Dell"/>
  </r>
  <r>
    <n v="1258"/>
    <x v="7"/>
    <x v="256"/>
    <n v="13"/>
    <x v="7"/>
    <s v="Logitech"/>
  </r>
  <r>
    <n v="1259"/>
    <x v="8"/>
    <x v="257"/>
    <n v="6"/>
    <x v="7"/>
    <s v="Canon"/>
  </r>
  <r>
    <n v="1260"/>
    <x v="7"/>
    <x v="258"/>
    <n v="59"/>
    <x v="7"/>
    <s v="Corsair"/>
  </r>
  <r>
    <n v="1261"/>
    <x v="1"/>
    <x v="259"/>
    <n v="73"/>
    <x v="6"/>
    <s v="Canon"/>
  </r>
  <r>
    <n v="1262"/>
    <x v="8"/>
    <x v="260"/>
    <n v="23"/>
    <x v="0"/>
    <s v="Canon"/>
  </r>
  <r>
    <n v="1263"/>
    <x v="8"/>
    <x v="261"/>
    <n v="51"/>
    <x v="5"/>
    <s v="Dell"/>
  </r>
  <r>
    <n v="1264"/>
    <x v="0"/>
    <x v="262"/>
    <n v="99"/>
    <x v="2"/>
    <s v="TP-Link"/>
  </r>
  <r>
    <n v="1265"/>
    <x v="7"/>
    <x v="263"/>
    <n v="37"/>
    <x v="3"/>
    <s v="HP"/>
  </r>
  <r>
    <n v="1266"/>
    <x v="7"/>
    <x v="264"/>
    <n v="59"/>
    <x v="7"/>
    <s v="Dell"/>
  </r>
  <r>
    <n v="1267"/>
    <x v="7"/>
    <x v="265"/>
    <n v="52"/>
    <x v="6"/>
    <s v="Lenovo"/>
  </r>
  <r>
    <n v="1268"/>
    <x v="1"/>
    <x v="266"/>
    <n v="76"/>
    <x v="1"/>
    <s v="HP"/>
  </r>
  <r>
    <n v="1269"/>
    <x v="6"/>
    <x v="267"/>
    <n v="89"/>
    <x v="3"/>
    <s v="Sony"/>
  </r>
  <r>
    <n v="1270"/>
    <x v="2"/>
    <x v="268"/>
    <n v="29"/>
    <x v="5"/>
    <s v="Canon"/>
  </r>
  <r>
    <n v="1271"/>
    <x v="9"/>
    <x v="269"/>
    <n v="15"/>
    <x v="1"/>
    <s v="Kingston"/>
  </r>
  <r>
    <n v="1272"/>
    <x v="8"/>
    <x v="270"/>
    <n v="99"/>
    <x v="2"/>
    <s v="Corsair"/>
  </r>
  <r>
    <n v="1273"/>
    <x v="2"/>
    <x v="271"/>
    <n v="21"/>
    <x v="1"/>
    <s v="Kingston"/>
  </r>
  <r>
    <n v="1274"/>
    <x v="5"/>
    <x v="272"/>
    <n v="66"/>
    <x v="4"/>
    <s v="Lenovo"/>
  </r>
  <r>
    <n v="1275"/>
    <x v="5"/>
    <x v="273"/>
    <n v="87"/>
    <x v="0"/>
    <s v="HP"/>
  </r>
  <r>
    <n v="1276"/>
    <x v="0"/>
    <x v="274"/>
    <n v="36"/>
    <x v="4"/>
    <s v="Samsung"/>
  </r>
  <r>
    <n v="1277"/>
    <x v="2"/>
    <x v="275"/>
    <n v="15"/>
    <x v="4"/>
    <s v="Corsair"/>
  </r>
  <r>
    <n v="1278"/>
    <x v="5"/>
    <x v="276"/>
    <n v="12"/>
    <x v="2"/>
    <s v="TP-Link"/>
  </r>
  <r>
    <n v="1279"/>
    <x v="3"/>
    <x v="277"/>
    <n v="5"/>
    <x v="0"/>
    <s v="Kingston"/>
  </r>
  <r>
    <n v="1280"/>
    <x v="3"/>
    <x v="278"/>
    <n v="91"/>
    <x v="0"/>
    <s v="Sony"/>
  </r>
  <r>
    <n v="1281"/>
    <x v="2"/>
    <x v="279"/>
    <n v="94"/>
    <x v="4"/>
    <s v="Kingston"/>
  </r>
  <r>
    <n v="1282"/>
    <x v="6"/>
    <x v="280"/>
    <n v="26"/>
    <x v="8"/>
    <s v="Kingston"/>
  </r>
  <r>
    <n v="1283"/>
    <x v="4"/>
    <x v="281"/>
    <n v="35"/>
    <x v="8"/>
    <s v="Samsung"/>
  </r>
  <r>
    <n v="1284"/>
    <x v="0"/>
    <x v="282"/>
    <n v="49"/>
    <x v="8"/>
    <s v="Dell"/>
  </r>
  <r>
    <n v="1285"/>
    <x v="1"/>
    <x v="283"/>
    <n v="18"/>
    <x v="5"/>
    <s v="Kingston"/>
  </r>
  <r>
    <n v="1286"/>
    <x v="8"/>
    <x v="284"/>
    <n v="53"/>
    <x v="0"/>
    <s v="Sony"/>
  </r>
  <r>
    <n v="1287"/>
    <x v="4"/>
    <x v="285"/>
    <n v="10"/>
    <x v="1"/>
    <s v="Dell"/>
  </r>
  <r>
    <n v="1288"/>
    <x v="6"/>
    <x v="286"/>
    <n v="62"/>
    <x v="5"/>
    <s v="Canon"/>
  </r>
  <r>
    <n v="1289"/>
    <x v="1"/>
    <x v="287"/>
    <n v="61"/>
    <x v="1"/>
    <s v="HP"/>
  </r>
  <r>
    <n v="1290"/>
    <x v="9"/>
    <x v="288"/>
    <n v="22"/>
    <x v="3"/>
    <s v="Kingston"/>
  </r>
  <r>
    <n v="1291"/>
    <x v="4"/>
    <x v="289"/>
    <n v="46"/>
    <x v="2"/>
    <s v="HP"/>
  </r>
  <r>
    <n v="1292"/>
    <x v="4"/>
    <x v="290"/>
    <n v="70"/>
    <x v="8"/>
    <s v="TP-Link"/>
  </r>
  <r>
    <n v="1293"/>
    <x v="7"/>
    <x v="291"/>
    <n v="24"/>
    <x v="2"/>
    <s v="HP"/>
  </r>
  <r>
    <n v="1294"/>
    <x v="9"/>
    <x v="292"/>
    <n v="8"/>
    <x v="3"/>
    <s v="Logitech"/>
  </r>
  <r>
    <n v="1295"/>
    <x v="5"/>
    <x v="293"/>
    <n v="58"/>
    <x v="0"/>
    <s v="Kingston"/>
  </r>
  <r>
    <n v="1296"/>
    <x v="8"/>
    <x v="294"/>
    <n v="9"/>
    <x v="6"/>
    <s v="Sony"/>
  </r>
  <r>
    <n v="1297"/>
    <x v="6"/>
    <x v="295"/>
    <n v="26"/>
    <x v="8"/>
    <s v="Lenovo"/>
  </r>
  <r>
    <n v="1298"/>
    <x v="2"/>
    <x v="296"/>
    <n v="58"/>
    <x v="8"/>
    <s v="TP-Link"/>
  </r>
  <r>
    <n v="1299"/>
    <x v="0"/>
    <x v="297"/>
    <n v="63"/>
    <x v="2"/>
    <s v="Sony"/>
  </r>
  <r>
    <n v="1300"/>
    <x v="5"/>
    <x v="298"/>
    <n v="57"/>
    <x v="5"/>
    <s v="HP"/>
  </r>
  <r>
    <n v="1301"/>
    <x v="1"/>
    <x v="299"/>
    <n v="26"/>
    <x v="1"/>
    <s v="Kingston"/>
  </r>
  <r>
    <n v="1302"/>
    <x v="1"/>
    <x v="300"/>
    <n v="25"/>
    <x v="4"/>
    <s v="HP"/>
  </r>
  <r>
    <n v="1303"/>
    <x v="7"/>
    <x v="301"/>
    <n v="49"/>
    <x v="1"/>
    <s v="HP"/>
  </r>
  <r>
    <n v="1304"/>
    <x v="1"/>
    <x v="302"/>
    <n v="66"/>
    <x v="0"/>
    <s v="TP-Link"/>
  </r>
  <r>
    <n v="1305"/>
    <x v="6"/>
    <x v="303"/>
    <n v="92"/>
    <x v="5"/>
    <s v="Corsair"/>
  </r>
  <r>
    <n v="1306"/>
    <x v="0"/>
    <x v="304"/>
    <n v="34"/>
    <x v="2"/>
    <s v="Samsung"/>
  </r>
  <r>
    <n v="1307"/>
    <x v="6"/>
    <x v="305"/>
    <n v="80"/>
    <x v="5"/>
    <s v="Samsung"/>
  </r>
  <r>
    <n v="1308"/>
    <x v="7"/>
    <x v="306"/>
    <n v="50"/>
    <x v="0"/>
    <s v="HP"/>
  </r>
  <r>
    <n v="1309"/>
    <x v="2"/>
    <x v="307"/>
    <n v="67"/>
    <x v="2"/>
    <s v="HP"/>
  </r>
  <r>
    <n v="1310"/>
    <x v="2"/>
    <x v="308"/>
    <n v="67"/>
    <x v="7"/>
    <s v="Dell"/>
  </r>
  <r>
    <n v="1311"/>
    <x v="1"/>
    <x v="309"/>
    <n v="35"/>
    <x v="7"/>
    <s v="Dell"/>
  </r>
  <r>
    <n v="1312"/>
    <x v="3"/>
    <x v="310"/>
    <n v="76"/>
    <x v="8"/>
    <s v="Lenovo"/>
  </r>
  <r>
    <n v="1313"/>
    <x v="7"/>
    <x v="311"/>
    <n v="51"/>
    <x v="8"/>
    <s v="Kingston"/>
  </r>
  <r>
    <n v="1314"/>
    <x v="1"/>
    <x v="312"/>
    <n v="92"/>
    <x v="2"/>
    <s v="Dell"/>
  </r>
  <r>
    <n v="1315"/>
    <x v="0"/>
    <x v="313"/>
    <n v="6"/>
    <x v="7"/>
    <s v="Lenovo"/>
  </r>
  <r>
    <n v="1316"/>
    <x v="4"/>
    <x v="314"/>
    <n v="13"/>
    <x v="4"/>
    <s v="TP-Link"/>
  </r>
  <r>
    <n v="1317"/>
    <x v="7"/>
    <x v="315"/>
    <n v="50"/>
    <x v="4"/>
    <s v="Dell"/>
  </r>
  <r>
    <n v="1318"/>
    <x v="3"/>
    <x v="316"/>
    <n v="24"/>
    <x v="8"/>
    <s v="Kingston"/>
  </r>
  <r>
    <n v="1319"/>
    <x v="6"/>
    <x v="317"/>
    <n v="19"/>
    <x v="3"/>
    <s v="Corsair"/>
  </r>
  <r>
    <n v="1320"/>
    <x v="5"/>
    <x v="318"/>
    <n v="34"/>
    <x v="0"/>
    <s v="Dell"/>
  </r>
  <r>
    <n v="1321"/>
    <x v="4"/>
    <x v="319"/>
    <n v="77"/>
    <x v="2"/>
    <s v="Corsair"/>
  </r>
  <r>
    <n v="1322"/>
    <x v="5"/>
    <x v="320"/>
    <n v="34"/>
    <x v="6"/>
    <s v="Sony"/>
  </r>
  <r>
    <n v="1323"/>
    <x v="5"/>
    <x v="321"/>
    <n v="9"/>
    <x v="4"/>
    <s v="TP-Link"/>
  </r>
  <r>
    <n v="1324"/>
    <x v="0"/>
    <x v="322"/>
    <n v="28"/>
    <x v="7"/>
    <s v="Lenovo"/>
  </r>
  <r>
    <n v="1325"/>
    <x v="2"/>
    <x v="323"/>
    <n v="39"/>
    <x v="6"/>
    <s v="Dell"/>
  </r>
  <r>
    <n v="1326"/>
    <x v="4"/>
    <x v="324"/>
    <n v="54"/>
    <x v="6"/>
    <s v="Samsung"/>
  </r>
  <r>
    <n v="1327"/>
    <x v="7"/>
    <x v="325"/>
    <n v="60"/>
    <x v="5"/>
    <s v="Lenovo"/>
  </r>
  <r>
    <n v="1328"/>
    <x v="1"/>
    <x v="326"/>
    <n v="73"/>
    <x v="8"/>
    <s v="Sony"/>
  </r>
  <r>
    <n v="1329"/>
    <x v="9"/>
    <x v="327"/>
    <n v="70"/>
    <x v="8"/>
    <s v="HP"/>
  </r>
  <r>
    <n v="1330"/>
    <x v="6"/>
    <x v="328"/>
    <n v="36"/>
    <x v="5"/>
    <s v="Samsung"/>
  </r>
  <r>
    <n v="1331"/>
    <x v="2"/>
    <x v="329"/>
    <n v="36"/>
    <x v="6"/>
    <s v="Dell"/>
  </r>
  <r>
    <n v="1332"/>
    <x v="6"/>
    <x v="330"/>
    <n v="55"/>
    <x v="1"/>
    <s v="TP-Link"/>
  </r>
  <r>
    <n v="1333"/>
    <x v="8"/>
    <x v="331"/>
    <n v="75"/>
    <x v="8"/>
    <s v="Kingston"/>
  </r>
  <r>
    <n v="1334"/>
    <x v="1"/>
    <x v="332"/>
    <n v="48"/>
    <x v="4"/>
    <s v="Samsung"/>
  </r>
  <r>
    <n v="1335"/>
    <x v="9"/>
    <x v="333"/>
    <n v="67"/>
    <x v="7"/>
    <s v="Samsung"/>
  </r>
  <r>
    <n v="1336"/>
    <x v="5"/>
    <x v="334"/>
    <n v="22"/>
    <x v="5"/>
    <s v="Sony"/>
  </r>
  <r>
    <n v="1337"/>
    <x v="5"/>
    <x v="335"/>
    <n v="18"/>
    <x v="7"/>
    <s v="HP"/>
  </r>
  <r>
    <n v="1338"/>
    <x v="5"/>
    <x v="336"/>
    <n v="75"/>
    <x v="1"/>
    <s v="Logitech"/>
  </r>
  <r>
    <n v="1339"/>
    <x v="5"/>
    <x v="337"/>
    <n v="60"/>
    <x v="7"/>
    <s v="Canon"/>
  </r>
  <r>
    <n v="1340"/>
    <x v="3"/>
    <x v="338"/>
    <n v="61"/>
    <x v="2"/>
    <s v="Lenovo"/>
  </r>
  <r>
    <n v="1341"/>
    <x v="0"/>
    <x v="339"/>
    <n v="9"/>
    <x v="8"/>
    <s v="Corsair"/>
  </r>
  <r>
    <n v="1342"/>
    <x v="3"/>
    <x v="340"/>
    <n v="8"/>
    <x v="1"/>
    <s v="TP-Link"/>
  </r>
  <r>
    <n v="1343"/>
    <x v="6"/>
    <x v="341"/>
    <n v="79"/>
    <x v="6"/>
    <s v="Canon"/>
  </r>
  <r>
    <n v="1344"/>
    <x v="9"/>
    <x v="342"/>
    <n v="67"/>
    <x v="3"/>
    <s v="Corsair"/>
  </r>
  <r>
    <n v="1345"/>
    <x v="0"/>
    <x v="343"/>
    <n v="58"/>
    <x v="8"/>
    <s v="Logitech"/>
  </r>
  <r>
    <n v="1346"/>
    <x v="3"/>
    <x v="344"/>
    <n v="42"/>
    <x v="6"/>
    <s v="Samsung"/>
  </r>
  <r>
    <n v="1347"/>
    <x v="6"/>
    <x v="345"/>
    <n v="91"/>
    <x v="0"/>
    <s v="Lenovo"/>
  </r>
  <r>
    <n v="1348"/>
    <x v="9"/>
    <x v="346"/>
    <n v="25"/>
    <x v="7"/>
    <s v="Kingston"/>
  </r>
  <r>
    <n v="1349"/>
    <x v="7"/>
    <x v="347"/>
    <n v="17"/>
    <x v="1"/>
    <s v="Kingston"/>
  </r>
  <r>
    <n v="1350"/>
    <x v="2"/>
    <x v="348"/>
    <n v="17"/>
    <x v="5"/>
    <s v="Sony"/>
  </r>
  <r>
    <n v="1351"/>
    <x v="4"/>
    <x v="349"/>
    <n v="71"/>
    <x v="4"/>
    <s v="Samsung"/>
  </r>
  <r>
    <n v="1352"/>
    <x v="7"/>
    <x v="350"/>
    <n v="50"/>
    <x v="6"/>
    <s v="Dell"/>
  </r>
  <r>
    <n v="1353"/>
    <x v="1"/>
    <x v="351"/>
    <n v="84"/>
    <x v="6"/>
    <s v="HP"/>
  </r>
  <r>
    <n v="1354"/>
    <x v="4"/>
    <x v="352"/>
    <n v="23"/>
    <x v="8"/>
    <s v="TP-Link"/>
  </r>
  <r>
    <n v="1355"/>
    <x v="1"/>
    <x v="353"/>
    <n v="46"/>
    <x v="2"/>
    <s v="Kingston"/>
  </r>
  <r>
    <n v="1356"/>
    <x v="2"/>
    <x v="354"/>
    <n v="12"/>
    <x v="4"/>
    <s v="Canon"/>
  </r>
  <r>
    <n v="1357"/>
    <x v="9"/>
    <x v="355"/>
    <n v="44"/>
    <x v="3"/>
    <s v="Lenovo"/>
  </r>
  <r>
    <n v="1358"/>
    <x v="1"/>
    <x v="356"/>
    <n v="64"/>
    <x v="2"/>
    <s v="Sony"/>
  </r>
  <r>
    <n v="1359"/>
    <x v="5"/>
    <x v="357"/>
    <n v="72"/>
    <x v="5"/>
    <s v="Canon"/>
  </r>
  <r>
    <n v="1360"/>
    <x v="6"/>
    <x v="358"/>
    <n v="58"/>
    <x v="6"/>
    <s v="Logitech"/>
  </r>
  <r>
    <n v="1361"/>
    <x v="0"/>
    <x v="359"/>
    <n v="36"/>
    <x v="3"/>
    <s v="Corsair"/>
  </r>
  <r>
    <n v="1362"/>
    <x v="2"/>
    <x v="360"/>
    <n v="71"/>
    <x v="0"/>
    <s v="Kingston"/>
  </r>
  <r>
    <n v="1363"/>
    <x v="4"/>
    <x v="361"/>
    <n v="22"/>
    <x v="2"/>
    <s v="Corsair"/>
  </r>
  <r>
    <n v="1364"/>
    <x v="5"/>
    <x v="362"/>
    <n v="11"/>
    <x v="0"/>
    <s v="HP"/>
  </r>
  <r>
    <n v="1365"/>
    <x v="0"/>
    <x v="363"/>
    <n v="50"/>
    <x v="5"/>
    <s v="Lenovo"/>
  </r>
  <r>
    <n v="1366"/>
    <x v="1"/>
    <x v="364"/>
    <n v="43"/>
    <x v="0"/>
    <s v="Logitech"/>
  </r>
  <r>
    <n v="1367"/>
    <x v="7"/>
    <x v="365"/>
    <n v="96"/>
    <x v="5"/>
    <s v="Corsair"/>
  </r>
  <r>
    <n v="1368"/>
    <x v="4"/>
    <x v="366"/>
    <n v="38"/>
    <x v="8"/>
    <s v="Lenovo"/>
  </r>
  <r>
    <n v="1369"/>
    <x v="9"/>
    <x v="367"/>
    <n v="56"/>
    <x v="1"/>
    <s v="Corsair"/>
  </r>
  <r>
    <n v="1370"/>
    <x v="6"/>
    <x v="368"/>
    <n v="79"/>
    <x v="7"/>
    <s v="TP-Link"/>
  </r>
  <r>
    <n v="1371"/>
    <x v="6"/>
    <x v="369"/>
    <n v="60"/>
    <x v="7"/>
    <s v="Corsair"/>
  </r>
  <r>
    <n v="1372"/>
    <x v="5"/>
    <x v="370"/>
    <n v="5"/>
    <x v="7"/>
    <s v="Logitech"/>
  </r>
  <r>
    <n v="1373"/>
    <x v="5"/>
    <x v="371"/>
    <n v="42"/>
    <x v="3"/>
    <s v="TP-Link"/>
  </r>
  <r>
    <n v="1374"/>
    <x v="9"/>
    <x v="372"/>
    <n v="37"/>
    <x v="7"/>
    <s v="Sony"/>
  </r>
  <r>
    <n v="1375"/>
    <x v="6"/>
    <x v="373"/>
    <n v="10"/>
    <x v="0"/>
    <s v="Logitech"/>
  </r>
  <r>
    <n v="1376"/>
    <x v="4"/>
    <x v="374"/>
    <n v="5"/>
    <x v="7"/>
    <s v="HP"/>
  </r>
  <r>
    <n v="1377"/>
    <x v="7"/>
    <x v="375"/>
    <n v="55"/>
    <x v="8"/>
    <s v="Dell"/>
  </r>
  <r>
    <n v="1378"/>
    <x v="1"/>
    <x v="376"/>
    <n v="79"/>
    <x v="0"/>
    <s v="Logitech"/>
  </r>
  <r>
    <n v="1379"/>
    <x v="1"/>
    <x v="377"/>
    <n v="56"/>
    <x v="6"/>
    <s v="Corsair"/>
  </r>
  <r>
    <n v="1380"/>
    <x v="6"/>
    <x v="378"/>
    <n v="27"/>
    <x v="7"/>
    <s v="Corsair"/>
  </r>
  <r>
    <n v="1381"/>
    <x v="2"/>
    <x v="379"/>
    <n v="87"/>
    <x v="7"/>
    <s v="TP-Link"/>
  </r>
  <r>
    <n v="1382"/>
    <x v="0"/>
    <x v="380"/>
    <n v="60"/>
    <x v="6"/>
    <s v="Samsung"/>
  </r>
  <r>
    <n v="1383"/>
    <x v="6"/>
    <x v="381"/>
    <n v="17"/>
    <x v="8"/>
    <s v="TP-Link"/>
  </r>
  <r>
    <n v="1384"/>
    <x v="4"/>
    <x v="382"/>
    <n v="70"/>
    <x v="5"/>
    <s v="HP"/>
  </r>
  <r>
    <n v="1385"/>
    <x v="4"/>
    <x v="383"/>
    <n v="51"/>
    <x v="4"/>
    <s v="Canon"/>
  </r>
  <r>
    <n v="1386"/>
    <x v="4"/>
    <x v="384"/>
    <n v="52"/>
    <x v="2"/>
    <s v="Kingston"/>
  </r>
  <r>
    <n v="1387"/>
    <x v="9"/>
    <x v="385"/>
    <n v="16"/>
    <x v="6"/>
    <s v="Canon"/>
  </r>
  <r>
    <n v="1388"/>
    <x v="0"/>
    <x v="386"/>
    <n v="40"/>
    <x v="3"/>
    <s v="Sony"/>
  </r>
  <r>
    <n v="1389"/>
    <x v="3"/>
    <x v="387"/>
    <n v="65"/>
    <x v="0"/>
    <s v="Corsair"/>
  </r>
  <r>
    <n v="1390"/>
    <x v="8"/>
    <x v="388"/>
    <n v="88"/>
    <x v="7"/>
    <s v="TP-Link"/>
  </r>
  <r>
    <n v="1391"/>
    <x v="8"/>
    <x v="389"/>
    <n v="88"/>
    <x v="6"/>
    <s v="Sony"/>
  </r>
  <r>
    <n v="1392"/>
    <x v="0"/>
    <x v="390"/>
    <n v="11"/>
    <x v="8"/>
    <s v="Lenovo"/>
  </r>
  <r>
    <n v="1393"/>
    <x v="9"/>
    <x v="391"/>
    <n v="11"/>
    <x v="7"/>
    <s v="Canon"/>
  </r>
  <r>
    <n v="1394"/>
    <x v="8"/>
    <x v="392"/>
    <n v="22"/>
    <x v="2"/>
    <s v="Dell"/>
  </r>
  <r>
    <n v="1395"/>
    <x v="8"/>
    <x v="393"/>
    <n v="8"/>
    <x v="4"/>
    <s v="Kingston"/>
  </r>
  <r>
    <n v="1396"/>
    <x v="6"/>
    <x v="394"/>
    <n v="35"/>
    <x v="1"/>
    <s v="Logitech"/>
  </r>
  <r>
    <n v="1397"/>
    <x v="9"/>
    <x v="395"/>
    <n v="16"/>
    <x v="7"/>
    <s v="Canon"/>
  </r>
  <r>
    <n v="1398"/>
    <x v="7"/>
    <x v="396"/>
    <n v="98"/>
    <x v="6"/>
    <s v="Lenovo"/>
  </r>
  <r>
    <n v="1399"/>
    <x v="6"/>
    <x v="397"/>
    <n v="40"/>
    <x v="2"/>
    <s v="Corsair"/>
  </r>
  <r>
    <n v="1400"/>
    <x v="8"/>
    <x v="398"/>
    <n v="47"/>
    <x v="8"/>
    <s v="Logitech"/>
  </r>
  <r>
    <n v="1401"/>
    <x v="3"/>
    <x v="399"/>
    <n v="53"/>
    <x v="0"/>
    <s v="Corsair"/>
  </r>
  <r>
    <n v="1402"/>
    <x v="5"/>
    <x v="400"/>
    <n v="41"/>
    <x v="3"/>
    <s v="Samsung"/>
  </r>
  <r>
    <n v="1403"/>
    <x v="6"/>
    <x v="401"/>
    <n v="39"/>
    <x v="7"/>
    <s v="Logitech"/>
  </r>
  <r>
    <n v="1404"/>
    <x v="0"/>
    <x v="402"/>
    <n v="75"/>
    <x v="4"/>
    <s v="HP"/>
  </r>
  <r>
    <n v="1405"/>
    <x v="0"/>
    <x v="403"/>
    <n v="79"/>
    <x v="7"/>
    <s v="Canon"/>
  </r>
  <r>
    <n v="1406"/>
    <x v="0"/>
    <x v="404"/>
    <n v="27"/>
    <x v="7"/>
    <s v="Logitech"/>
  </r>
  <r>
    <n v="1407"/>
    <x v="7"/>
    <x v="405"/>
    <n v="26"/>
    <x v="8"/>
    <s v="Logitech"/>
  </r>
  <r>
    <n v="1408"/>
    <x v="2"/>
    <x v="406"/>
    <n v="92"/>
    <x v="8"/>
    <s v="Sony"/>
  </r>
  <r>
    <n v="1409"/>
    <x v="3"/>
    <x v="407"/>
    <n v="30"/>
    <x v="4"/>
    <s v="Lenovo"/>
  </r>
  <r>
    <n v="1410"/>
    <x v="4"/>
    <x v="408"/>
    <n v="41"/>
    <x v="5"/>
    <s v="Corsair"/>
  </r>
  <r>
    <n v="1411"/>
    <x v="3"/>
    <x v="409"/>
    <n v="43"/>
    <x v="3"/>
    <s v="Logitech"/>
  </r>
  <r>
    <n v="1412"/>
    <x v="0"/>
    <x v="410"/>
    <n v="13"/>
    <x v="7"/>
    <s v="HP"/>
  </r>
  <r>
    <n v="1413"/>
    <x v="6"/>
    <x v="411"/>
    <n v="78"/>
    <x v="2"/>
    <s v="Corsair"/>
  </r>
  <r>
    <n v="1414"/>
    <x v="6"/>
    <x v="412"/>
    <n v="30"/>
    <x v="5"/>
    <s v="HP"/>
  </r>
  <r>
    <n v="1415"/>
    <x v="6"/>
    <x v="413"/>
    <n v="100"/>
    <x v="3"/>
    <s v="Canon"/>
  </r>
  <r>
    <n v="1416"/>
    <x v="0"/>
    <x v="414"/>
    <n v="42"/>
    <x v="4"/>
    <s v="Logitech"/>
  </r>
  <r>
    <n v="1417"/>
    <x v="3"/>
    <x v="415"/>
    <n v="75"/>
    <x v="1"/>
    <s v="Logitech"/>
  </r>
  <r>
    <n v="1418"/>
    <x v="1"/>
    <x v="416"/>
    <n v="85"/>
    <x v="7"/>
    <s v="Logitech"/>
  </r>
  <r>
    <n v="1419"/>
    <x v="2"/>
    <x v="417"/>
    <n v="85"/>
    <x v="0"/>
    <s v="Logitech"/>
  </r>
  <r>
    <n v="1420"/>
    <x v="8"/>
    <x v="418"/>
    <n v="49"/>
    <x v="5"/>
    <s v="Samsung"/>
  </r>
  <r>
    <n v="1421"/>
    <x v="2"/>
    <x v="419"/>
    <n v="6"/>
    <x v="0"/>
    <s v="Corsair"/>
  </r>
  <r>
    <n v="1422"/>
    <x v="7"/>
    <x v="420"/>
    <n v="82"/>
    <x v="2"/>
    <s v="Sony"/>
  </r>
  <r>
    <n v="1423"/>
    <x v="8"/>
    <x v="421"/>
    <n v="75"/>
    <x v="3"/>
    <s v="Corsair"/>
  </r>
  <r>
    <n v="1424"/>
    <x v="4"/>
    <x v="422"/>
    <n v="47"/>
    <x v="4"/>
    <s v="Logitech"/>
  </r>
  <r>
    <n v="1425"/>
    <x v="4"/>
    <x v="423"/>
    <n v="68"/>
    <x v="8"/>
    <s v="Sony"/>
  </r>
  <r>
    <n v="1426"/>
    <x v="3"/>
    <x v="424"/>
    <n v="91"/>
    <x v="7"/>
    <s v="HP"/>
  </r>
  <r>
    <n v="1427"/>
    <x v="4"/>
    <x v="425"/>
    <n v="43"/>
    <x v="7"/>
    <s v="Corsair"/>
  </r>
  <r>
    <n v="1428"/>
    <x v="5"/>
    <x v="426"/>
    <n v="48"/>
    <x v="1"/>
    <s v="Logitech"/>
  </r>
  <r>
    <n v="1429"/>
    <x v="0"/>
    <x v="427"/>
    <n v="87"/>
    <x v="0"/>
    <s v="HP"/>
  </r>
  <r>
    <n v="1430"/>
    <x v="2"/>
    <x v="428"/>
    <n v="87"/>
    <x v="2"/>
    <s v="HP"/>
  </r>
  <r>
    <n v="1431"/>
    <x v="0"/>
    <x v="429"/>
    <n v="83"/>
    <x v="6"/>
    <s v="Canon"/>
  </r>
  <r>
    <n v="1432"/>
    <x v="5"/>
    <x v="430"/>
    <n v="50"/>
    <x v="0"/>
    <s v="Samsung"/>
  </r>
  <r>
    <n v="1433"/>
    <x v="9"/>
    <x v="431"/>
    <n v="90"/>
    <x v="6"/>
    <s v="Dell"/>
  </r>
  <r>
    <n v="1434"/>
    <x v="0"/>
    <x v="432"/>
    <n v="31"/>
    <x v="2"/>
    <s v="Logitech"/>
  </r>
  <r>
    <n v="1435"/>
    <x v="3"/>
    <x v="433"/>
    <n v="27"/>
    <x v="6"/>
    <s v="HP"/>
  </r>
  <r>
    <n v="1436"/>
    <x v="9"/>
    <x v="434"/>
    <n v="37"/>
    <x v="8"/>
    <s v="Corsair"/>
  </r>
  <r>
    <n v="1437"/>
    <x v="5"/>
    <x v="435"/>
    <n v="46"/>
    <x v="4"/>
    <s v="Corsair"/>
  </r>
  <r>
    <n v="1438"/>
    <x v="3"/>
    <x v="436"/>
    <n v="12"/>
    <x v="8"/>
    <s v="Sony"/>
  </r>
  <r>
    <n v="1439"/>
    <x v="2"/>
    <x v="437"/>
    <n v="67"/>
    <x v="6"/>
    <s v="Corsair"/>
  </r>
  <r>
    <n v="1440"/>
    <x v="4"/>
    <x v="438"/>
    <n v="21"/>
    <x v="1"/>
    <s v="Kingston"/>
  </r>
  <r>
    <n v="1441"/>
    <x v="6"/>
    <x v="439"/>
    <n v="14"/>
    <x v="1"/>
    <s v="HP"/>
  </r>
  <r>
    <n v="1442"/>
    <x v="5"/>
    <x v="440"/>
    <n v="49"/>
    <x v="5"/>
    <s v="Sony"/>
  </r>
  <r>
    <n v="1443"/>
    <x v="6"/>
    <x v="441"/>
    <n v="36"/>
    <x v="0"/>
    <s v="HP"/>
  </r>
  <r>
    <n v="1444"/>
    <x v="0"/>
    <x v="442"/>
    <n v="55"/>
    <x v="3"/>
    <s v="Samsung"/>
  </r>
  <r>
    <n v="1445"/>
    <x v="3"/>
    <x v="443"/>
    <n v="72"/>
    <x v="0"/>
    <s v="TP-Link"/>
  </r>
  <r>
    <n v="1446"/>
    <x v="0"/>
    <x v="444"/>
    <n v="66"/>
    <x v="1"/>
    <s v="Sony"/>
  </r>
  <r>
    <n v="1447"/>
    <x v="7"/>
    <x v="445"/>
    <n v="30"/>
    <x v="1"/>
    <s v="Dell"/>
  </r>
  <r>
    <n v="1448"/>
    <x v="0"/>
    <x v="446"/>
    <n v="66"/>
    <x v="5"/>
    <s v="Canon"/>
  </r>
  <r>
    <n v="1449"/>
    <x v="4"/>
    <x v="447"/>
    <n v="36"/>
    <x v="4"/>
    <s v="Samsung"/>
  </r>
  <r>
    <n v="1450"/>
    <x v="5"/>
    <x v="448"/>
    <n v="37"/>
    <x v="8"/>
    <s v="HP"/>
  </r>
  <r>
    <n v="1451"/>
    <x v="3"/>
    <x v="449"/>
    <n v="82"/>
    <x v="5"/>
    <s v="Logitech"/>
  </r>
  <r>
    <n v="1452"/>
    <x v="0"/>
    <x v="450"/>
    <n v="88"/>
    <x v="3"/>
    <s v="HP"/>
  </r>
  <r>
    <n v="1453"/>
    <x v="9"/>
    <x v="451"/>
    <n v="80"/>
    <x v="3"/>
    <s v="Samsung"/>
  </r>
  <r>
    <n v="1454"/>
    <x v="1"/>
    <x v="452"/>
    <n v="54"/>
    <x v="0"/>
    <s v="Lenovo"/>
  </r>
  <r>
    <n v="1455"/>
    <x v="2"/>
    <x v="453"/>
    <n v="71"/>
    <x v="4"/>
    <s v="TP-Link"/>
  </r>
  <r>
    <n v="1456"/>
    <x v="3"/>
    <x v="454"/>
    <n v="12"/>
    <x v="1"/>
    <s v="Logitech"/>
  </r>
  <r>
    <n v="1457"/>
    <x v="1"/>
    <x v="455"/>
    <n v="49"/>
    <x v="6"/>
    <s v="HP"/>
  </r>
  <r>
    <n v="1458"/>
    <x v="6"/>
    <x v="456"/>
    <n v="26"/>
    <x v="3"/>
    <s v="Dell"/>
  </r>
  <r>
    <n v="1459"/>
    <x v="2"/>
    <x v="457"/>
    <n v="80"/>
    <x v="0"/>
    <s v="Canon"/>
  </r>
  <r>
    <n v="1460"/>
    <x v="6"/>
    <x v="458"/>
    <n v="82"/>
    <x v="5"/>
    <s v="Sony"/>
  </r>
  <r>
    <n v="1461"/>
    <x v="6"/>
    <x v="459"/>
    <n v="85"/>
    <x v="1"/>
    <s v="Lenovo"/>
  </r>
  <r>
    <n v="1462"/>
    <x v="5"/>
    <x v="460"/>
    <n v="40"/>
    <x v="5"/>
    <s v="Logitech"/>
  </r>
  <r>
    <n v="1463"/>
    <x v="9"/>
    <x v="461"/>
    <n v="70"/>
    <x v="8"/>
    <s v="Samsung"/>
  </r>
  <r>
    <n v="1464"/>
    <x v="8"/>
    <x v="462"/>
    <n v="60"/>
    <x v="7"/>
    <s v="Samsung"/>
  </r>
  <r>
    <n v="1465"/>
    <x v="9"/>
    <x v="463"/>
    <n v="65"/>
    <x v="0"/>
    <s v="Corsair"/>
  </r>
  <r>
    <n v="1466"/>
    <x v="3"/>
    <x v="464"/>
    <n v="52"/>
    <x v="6"/>
    <s v="Logitech"/>
  </r>
  <r>
    <n v="1467"/>
    <x v="6"/>
    <x v="465"/>
    <n v="33"/>
    <x v="3"/>
    <s v="Kingston"/>
  </r>
  <r>
    <n v="1468"/>
    <x v="8"/>
    <x v="466"/>
    <n v="18"/>
    <x v="3"/>
    <s v="Sony"/>
  </r>
  <r>
    <n v="1469"/>
    <x v="3"/>
    <x v="467"/>
    <n v="82"/>
    <x v="1"/>
    <s v="Dell"/>
  </r>
  <r>
    <n v="1470"/>
    <x v="8"/>
    <x v="468"/>
    <n v="64"/>
    <x v="0"/>
    <s v="Canon"/>
  </r>
  <r>
    <n v="1471"/>
    <x v="5"/>
    <x v="469"/>
    <n v="42"/>
    <x v="0"/>
    <s v="TP-Link"/>
  </r>
  <r>
    <n v="1472"/>
    <x v="5"/>
    <x v="470"/>
    <n v="65"/>
    <x v="8"/>
    <s v="Kingston"/>
  </r>
  <r>
    <n v="1473"/>
    <x v="8"/>
    <x v="471"/>
    <n v="79"/>
    <x v="8"/>
    <s v="Lenovo"/>
  </r>
  <r>
    <n v="1474"/>
    <x v="3"/>
    <x v="472"/>
    <n v="51"/>
    <x v="6"/>
    <s v="Corsair"/>
  </r>
  <r>
    <n v="1475"/>
    <x v="2"/>
    <x v="473"/>
    <n v="94"/>
    <x v="6"/>
    <s v="TP-Link"/>
  </r>
  <r>
    <n v="1476"/>
    <x v="3"/>
    <x v="474"/>
    <n v="65"/>
    <x v="1"/>
    <s v="Logitech"/>
  </r>
  <r>
    <n v="1477"/>
    <x v="8"/>
    <x v="475"/>
    <n v="14"/>
    <x v="4"/>
    <s v="Kingston"/>
  </r>
  <r>
    <n v="1478"/>
    <x v="0"/>
    <x v="476"/>
    <n v="97"/>
    <x v="4"/>
    <s v="HP"/>
  </r>
  <r>
    <n v="1479"/>
    <x v="8"/>
    <x v="477"/>
    <n v="77"/>
    <x v="2"/>
    <s v="Sony"/>
  </r>
  <r>
    <n v="1480"/>
    <x v="5"/>
    <x v="478"/>
    <n v="86"/>
    <x v="2"/>
    <s v="Lenovo"/>
  </r>
  <r>
    <n v="1481"/>
    <x v="9"/>
    <x v="479"/>
    <n v="24"/>
    <x v="8"/>
    <s v="Corsair"/>
  </r>
  <r>
    <n v="1482"/>
    <x v="8"/>
    <x v="480"/>
    <n v="76"/>
    <x v="6"/>
    <s v="Dell"/>
  </r>
  <r>
    <n v="1483"/>
    <x v="1"/>
    <x v="481"/>
    <n v="43"/>
    <x v="2"/>
    <s v="Sony"/>
  </r>
  <r>
    <n v="1484"/>
    <x v="5"/>
    <x v="482"/>
    <n v="90"/>
    <x v="2"/>
    <s v="TP-Link"/>
  </r>
  <r>
    <n v="1485"/>
    <x v="0"/>
    <x v="483"/>
    <n v="5"/>
    <x v="1"/>
    <s v="Kingston"/>
  </r>
  <r>
    <n v="1486"/>
    <x v="8"/>
    <x v="484"/>
    <n v="90"/>
    <x v="0"/>
    <s v="Dell"/>
  </r>
  <r>
    <n v="1487"/>
    <x v="5"/>
    <x v="485"/>
    <n v="49"/>
    <x v="5"/>
    <s v="Canon"/>
  </r>
  <r>
    <n v="1488"/>
    <x v="1"/>
    <x v="486"/>
    <n v="73"/>
    <x v="7"/>
    <s v="Corsair"/>
  </r>
  <r>
    <n v="1489"/>
    <x v="3"/>
    <x v="487"/>
    <n v="9"/>
    <x v="3"/>
    <s v="Logitech"/>
  </r>
  <r>
    <n v="1490"/>
    <x v="4"/>
    <x v="488"/>
    <n v="18"/>
    <x v="1"/>
    <s v="Logitech"/>
  </r>
  <r>
    <n v="1491"/>
    <x v="7"/>
    <x v="489"/>
    <n v="65"/>
    <x v="7"/>
    <s v="Kingston"/>
  </r>
  <r>
    <n v="1492"/>
    <x v="3"/>
    <x v="490"/>
    <n v="57"/>
    <x v="5"/>
    <s v="Kingston"/>
  </r>
  <r>
    <n v="1493"/>
    <x v="8"/>
    <x v="491"/>
    <n v="57"/>
    <x v="2"/>
    <s v="Dell"/>
  </r>
  <r>
    <n v="1494"/>
    <x v="2"/>
    <x v="492"/>
    <n v="61"/>
    <x v="1"/>
    <s v="Canon"/>
  </r>
  <r>
    <n v="1495"/>
    <x v="5"/>
    <x v="493"/>
    <n v="36"/>
    <x v="2"/>
    <s v="Samsung"/>
  </r>
  <r>
    <n v="1496"/>
    <x v="1"/>
    <x v="494"/>
    <n v="63"/>
    <x v="0"/>
    <s v="Sony"/>
  </r>
  <r>
    <n v="1497"/>
    <x v="6"/>
    <x v="495"/>
    <n v="36"/>
    <x v="8"/>
    <s v="Samsung"/>
  </r>
  <r>
    <n v="1498"/>
    <x v="4"/>
    <x v="496"/>
    <n v="12"/>
    <x v="0"/>
    <s v="TP-Link"/>
  </r>
  <r>
    <n v="1499"/>
    <x v="6"/>
    <x v="497"/>
    <n v="37"/>
    <x v="4"/>
    <s v="Canon"/>
  </r>
  <r>
    <n v="1500"/>
    <x v="2"/>
    <x v="498"/>
    <n v="45"/>
    <x v="3"/>
    <s v="Corsair"/>
  </r>
  <r>
    <m/>
    <x v="10"/>
    <x v="499"/>
    <m/>
    <x v="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38840-E685-4C7A-BBCC-34DBC8B890FB}"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34:N45" firstHeaderRow="1" firstDataRow="1" firstDataCol="1"/>
  <pivotFields count="6">
    <pivotField showAll="0"/>
    <pivotField showAll="0"/>
    <pivotField dataField="1" showAll="0">
      <items count="501">
        <item x="421"/>
        <item x="63"/>
        <item x="233"/>
        <item x="120"/>
        <item x="292"/>
        <item x="438"/>
        <item x="5"/>
        <item x="185"/>
        <item x="175"/>
        <item x="440"/>
        <item x="195"/>
        <item x="222"/>
        <item x="36"/>
        <item x="318"/>
        <item x="489"/>
        <item x="446"/>
        <item x="98"/>
        <item x="333"/>
        <item x="46"/>
        <item x="388"/>
        <item x="419"/>
        <item x="272"/>
        <item x="253"/>
        <item x="191"/>
        <item x="152"/>
        <item x="4"/>
        <item x="136"/>
        <item x="498"/>
        <item x="88"/>
        <item x="353"/>
        <item x="324"/>
        <item x="416"/>
        <item x="453"/>
        <item x="45"/>
        <item x="471"/>
        <item x="391"/>
        <item x="436"/>
        <item x="467"/>
        <item x="399"/>
        <item x="383"/>
        <item x="377"/>
        <item x="443"/>
        <item x="424"/>
        <item x="199"/>
        <item x="393"/>
        <item x="312"/>
        <item x="380"/>
        <item x="34"/>
        <item x="114"/>
        <item x="258"/>
        <item x="178"/>
        <item x="243"/>
        <item x="155"/>
        <item x="469"/>
        <item x="91"/>
        <item x="463"/>
        <item x="294"/>
        <item x="240"/>
        <item x="242"/>
        <item x="143"/>
        <item x="126"/>
        <item x="411"/>
        <item x="206"/>
        <item x="384"/>
        <item x="156"/>
        <item x="350"/>
        <item x="52"/>
        <item x="479"/>
        <item x="57"/>
        <item x="366"/>
        <item x="50"/>
        <item x="327"/>
        <item x="193"/>
        <item x="342"/>
        <item x="343"/>
        <item x="257"/>
        <item x="339"/>
        <item x="71"/>
        <item x="303"/>
        <item x="494"/>
        <item x="167"/>
        <item x="428"/>
        <item x="90"/>
        <item x="85"/>
        <item x="23"/>
        <item x="236"/>
        <item x="299"/>
        <item x="260"/>
        <item x="472"/>
        <item x="470"/>
        <item x="418"/>
        <item x="493"/>
        <item x="448"/>
        <item x="415"/>
        <item x="437"/>
        <item x="323"/>
        <item x="289"/>
        <item x="314"/>
        <item x="311"/>
        <item x="131"/>
        <item x="262"/>
        <item x="400"/>
        <item x="430"/>
        <item x="389"/>
        <item x="164"/>
        <item x="290"/>
        <item x="417"/>
        <item x="367"/>
        <item x="362"/>
        <item x="230"/>
        <item x="212"/>
        <item x="28"/>
        <item x="187"/>
        <item x="92"/>
        <item x="274"/>
        <item x="482"/>
        <item x="130"/>
        <item x="180"/>
        <item x="322"/>
        <item x="61"/>
        <item x="280"/>
        <item x="197"/>
        <item x="122"/>
        <item x="478"/>
        <item x="261"/>
        <item x="268"/>
        <item x="457"/>
        <item x="84"/>
        <item x="434"/>
        <item x="464"/>
        <item x="74"/>
        <item x="338"/>
        <item x="123"/>
        <item x="110"/>
        <item x="447"/>
        <item x="308"/>
        <item x="183"/>
        <item x="200"/>
        <item x="154"/>
        <item x="153"/>
        <item x="409"/>
        <item x="104"/>
        <item x="238"/>
        <item x="431"/>
        <item x="174"/>
        <item x="210"/>
        <item x="341"/>
        <item x="390"/>
        <item x="86"/>
        <item x="462"/>
        <item x="41"/>
        <item x="306"/>
        <item x="29"/>
        <item x="82"/>
        <item x="231"/>
        <item x="442"/>
        <item x="17"/>
        <item x="166"/>
        <item x="281"/>
        <item x="293"/>
        <item x="56"/>
        <item x="496"/>
        <item x="27"/>
        <item x="259"/>
        <item x="94"/>
        <item x="398"/>
        <item x="422"/>
        <item x="378"/>
        <item x="196"/>
        <item x="275"/>
        <item x="360"/>
        <item x="209"/>
        <item x="403"/>
        <item x="497"/>
        <item x="12"/>
        <item x="477"/>
        <item x="256"/>
        <item x="218"/>
        <item x="271"/>
        <item x="481"/>
        <item x="444"/>
        <item x="35"/>
        <item x="315"/>
        <item x="112"/>
        <item x="38"/>
        <item x="392"/>
        <item x="340"/>
        <item x="44"/>
        <item x="235"/>
        <item x="433"/>
        <item x="140"/>
        <item x="215"/>
        <item x="228"/>
        <item x="237"/>
        <item x="139"/>
        <item x="40"/>
        <item x="108"/>
        <item x="117"/>
        <item x="9"/>
        <item x="186"/>
        <item x="20"/>
        <item x="363"/>
        <item x="232"/>
        <item x="2"/>
        <item x="32"/>
        <item x="332"/>
        <item x="78"/>
        <item x="47"/>
        <item x="147"/>
        <item x="83"/>
        <item x="250"/>
        <item x="146"/>
        <item x="60"/>
        <item x="414"/>
        <item x="397"/>
        <item x="172"/>
        <item x="254"/>
        <item x="168"/>
        <item x="358"/>
        <item x="205"/>
        <item x="317"/>
        <item x="307"/>
        <item x="277"/>
        <item x="176"/>
        <item x="16"/>
        <item x="412"/>
        <item x="43"/>
        <item x="354"/>
        <item x="265"/>
        <item x="119"/>
        <item x="10"/>
        <item x="460"/>
        <item x="116"/>
        <item x="283"/>
        <item x="217"/>
        <item x="37"/>
        <item x="451"/>
        <item x="495"/>
        <item x="405"/>
        <item x="181"/>
        <item x="490"/>
        <item x="66"/>
        <item x="279"/>
        <item x="325"/>
        <item x="420"/>
        <item x="58"/>
        <item x="291"/>
        <item x="31"/>
        <item x="64"/>
        <item x="227"/>
        <item x="247"/>
        <item x="381"/>
        <item x="263"/>
        <item x="65"/>
        <item x="356"/>
        <item x="266"/>
        <item x="19"/>
        <item x="452"/>
        <item x="15"/>
        <item x="445"/>
        <item x="466"/>
        <item x="309"/>
        <item x="87"/>
        <item x="48"/>
        <item x="359"/>
        <item x="25"/>
        <item x="286"/>
        <item x="435"/>
        <item x="413"/>
        <item x="458"/>
        <item x="121"/>
        <item x="53"/>
        <item x="137"/>
        <item x="224"/>
        <item x="396"/>
        <item x="269"/>
        <item x="203"/>
        <item x="141"/>
        <item x="220"/>
        <item x="113"/>
        <item x="24"/>
        <item x="427"/>
        <item x="328"/>
        <item x="273"/>
        <item x="450"/>
        <item x="465"/>
        <item x="144"/>
        <item x="81"/>
        <item x="79"/>
        <item x="426"/>
        <item x="204"/>
        <item x="115"/>
        <item x="128"/>
        <item x="161"/>
        <item x="162"/>
        <item x="282"/>
        <item x="401"/>
        <item x="99"/>
        <item x="336"/>
        <item x="239"/>
        <item x="160"/>
        <item x="337"/>
        <item x="118"/>
        <item x="407"/>
        <item x="395"/>
        <item x="6"/>
        <item x="214"/>
        <item x="109"/>
        <item x="386"/>
        <item x="255"/>
        <item x="432"/>
        <item x="241"/>
        <item x="364"/>
        <item x="135"/>
        <item x="13"/>
        <item x="150"/>
        <item x="408"/>
        <item x="102"/>
        <item x="449"/>
        <item x="351"/>
        <item x="321"/>
        <item x="244"/>
        <item x="376"/>
        <item x="454"/>
        <item x="70"/>
        <item x="429"/>
        <item x="248"/>
        <item x="190"/>
        <item x="211"/>
        <item x="385"/>
        <item x="223"/>
        <item x="202"/>
        <item x="3"/>
        <item x="348"/>
        <item x="55"/>
        <item x="198"/>
        <item x="387"/>
        <item x="124"/>
        <item x="159"/>
        <item x="370"/>
        <item x="138"/>
        <item x="226"/>
        <item x="347"/>
        <item x="103"/>
        <item x="59"/>
        <item x="21"/>
        <item x="219"/>
        <item x="252"/>
        <item x="39"/>
        <item x="320"/>
        <item x="1"/>
        <item x="100"/>
        <item x="455"/>
        <item x="300"/>
        <item x="264"/>
        <item x="297"/>
        <item x="95"/>
        <item x="319"/>
        <item x="77"/>
        <item x="188"/>
        <item x="361"/>
        <item x="142"/>
        <item x="296"/>
        <item x="173"/>
        <item x="105"/>
        <item x="68"/>
        <item x="221"/>
        <item x="169"/>
        <item x="163"/>
        <item x="459"/>
        <item x="468"/>
        <item x="330"/>
        <item x="80"/>
        <item x="285"/>
        <item x="344"/>
        <item x="402"/>
        <item x="488"/>
        <item x="439"/>
        <item x="326"/>
        <item x="357"/>
        <item x="369"/>
        <item x="346"/>
        <item x="26"/>
        <item x="334"/>
        <item x="213"/>
        <item x="441"/>
        <item x="129"/>
        <item x="406"/>
        <item x="410"/>
        <item x="8"/>
        <item x="96"/>
        <item x="149"/>
        <item x="404"/>
        <item x="69"/>
        <item x="345"/>
        <item x="229"/>
        <item x="461"/>
        <item x="216"/>
        <item x="288"/>
        <item x="93"/>
        <item x="157"/>
        <item x="134"/>
        <item x="480"/>
        <item x="249"/>
        <item x="148"/>
        <item x="310"/>
        <item x="179"/>
        <item x="201"/>
        <item x="194"/>
        <item x="62"/>
        <item x="486"/>
        <item x="14"/>
        <item x="30"/>
        <item x="145"/>
        <item x="456"/>
        <item x="301"/>
        <item x="72"/>
        <item x="423"/>
        <item x="374"/>
        <item x="492"/>
        <item x="225"/>
        <item x="42"/>
        <item x="375"/>
        <item x="484"/>
        <item x="67"/>
        <item x="368"/>
        <item x="75"/>
        <item x="101"/>
        <item x="316"/>
        <item x="349"/>
        <item x="331"/>
        <item x="111"/>
        <item x="207"/>
        <item x="33"/>
        <item x="151"/>
        <item x="485"/>
        <item x="76"/>
        <item x="51"/>
        <item x="106"/>
        <item x="365"/>
        <item x="208"/>
        <item x="49"/>
        <item x="133"/>
        <item x="171"/>
        <item x="473"/>
        <item x="11"/>
        <item x="295"/>
        <item x="234"/>
        <item x="170"/>
        <item x="487"/>
        <item x="425"/>
        <item x="372"/>
        <item x="189"/>
        <item x="474"/>
        <item x="18"/>
        <item x="304"/>
        <item x="245"/>
        <item x="371"/>
        <item x="97"/>
        <item x="246"/>
        <item x="335"/>
        <item x="132"/>
        <item x="278"/>
        <item x="192"/>
        <item x="373"/>
        <item x="284"/>
        <item x="0"/>
        <item x="177"/>
        <item x="54"/>
        <item x="270"/>
        <item x="89"/>
        <item x="267"/>
        <item x="251"/>
        <item x="382"/>
        <item x="182"/>
        <item x="394"/>
        <item x="276"/>
        <item x="165"/>
        <item x="483"/>
        <item x="127"/>
        <item x="379"/>
        <item x="352"/>
        <item x="7"/>
        <item x="491"/>
        <item x="287"/>
        <item x="73"/>
        <item x="298"/>
        <item x="475"/>
        <item x="107"/>
        <item x="313"/>
        <item x="158"/>
        <item x="305"/>
        <item x="355"/>
        <item x="329"/>
        <item x="476"/>
        <item x="22"/>
        <item x="302"/>
        <item x="125"/>
        <item x="184"/>
        <item x="499"/>
        <item t="default"/>
      </items>
    </pivotField>
    <pivotField showAll="0"/>
    <pivotField axis="axisRow" showAll="0">
      <items count="11">
        <item x="1"/>
        <item x="3"/>
        <item x="6"/>
        <item x="0"/>
        <item x="2"/>
        <item x="4"/>
        <item x="7"/>
        <item x="5"/>
        <item x="8"/>
        <item x="9"/>
        <item t="default"/>
      </items>
    </pivotField>
    <pivotField showAll="0"/>
  </pivotFields>
  <rowFields count="1">
    <field x="4"/>
  </rowFields>
  <rowItems count="11">
    <i>
      <x/>
    </i>
    <i>
      <x v="1"/>
    </i>
    <i>
      <x v="2"/>
    </i>
    <i>
      <x v="3"/>
    </i>
    <i>
      <x v="4"/>
    </i>
    <i>
      <x v="5"/>
    </i>
    <i>
      <x v="6"/>
    </i>
    <i>
      <x v="7"/>
    </i>
    <i>
      <x v="8"/>
    </i>
    <i>
      <x v="9"/>
    </i>
    <i t="grand">
      <x/>
    </i>
  </rowItems>
  <colItems count="1">
    <i/>
  </colItems>
  <dataFields count="1">
    <dataField name="Sum of Price" fld="2" baseField="4" baseItem="0" numFmtId="10"/>
  </dataFields>
  <formats count="2">
    <format dxfId="79">
      <pivotArea grandRow="1" outline="0" collapsedLevelsAreSubtotals="1" fieldPosition="0"/>
    </format>
    <format dxfId="78">
      <pivotArea collapsedLevelsAreSubtotals="1" fieldPosition="0">
        <references count="1">
          <reference field="4" count="8">
            <x v="0"/>
            <x v="1"/>
            <x v="2"/>
            <x v="3"/>
            <x v="4"/>
            <x v="5"/>
            <x v="6"/>
            <x v="7"/>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333B9-688E-4B2B-95F8-A24260458A43}" name="PivotTable1" cacheId="10" applyNumberFormats="0" applyBorderFormats="0" applyFontFormats="0" applyPatternFormats="0" applyAlignmentFormats="0" applyWidthHeightFormats="1" dataCaption="Values" updatedVersion="6" minRefreshableVersion="3" useAutoFormatting="1" pageOverThenDown="1" itemPrintTitles="1" createdVersion="6" indent="0" outline="1" outlineData="1" multipleFieldFilters="0" chartFormat="4">
  <location ref="A33:L46" firstHeaderRow="1" firstDataRow="2" firstDataCol="1"/>
  <pivotFields count="6">
    <pivotField showAll="0"/>
    <pivotField axis="axisRow" showAll="0">
      <items count="12">
        <item x="4"/>
        <item x="7"/>
        <item x="1"/>
        <item x="3"/>
        <item x="8"/>
        <item x="2"/>
        <item x="6"/>
        <item x="9"/>
        <item x="0"/>
        <item x="5"/>
        <item x="10"/>
        <item t="default"/>
      </items>
    </pivotField>
    <pivotField dataField="1" showAll="0">
      <items count="501">
        <item x="421"/>
        <item x="63"/>
        <item x="233"/>
        <item x="120"/>
        <item x="292"/>
        <item x="438"/>
        <item x="5"/>
        <item x="185"/>
        <item x="175"/>
        <item x="440"/>
        <item x="195"/>
        <item x="222"/>
        <item x="36"/>
        <item x="318"/>
        <item x="489"/>
        <item x="446"/>
        <item x="98"/>
        <item x="333"/>
        <item x="46"/>
        <item x="388"/>
        <item x="419"/>
        <item x="272"/>
        <item x="253"/>
        <item x="191"/>
        <item x="152"/>
        <item x="4"/>
        <item x="136"/>
        <item x="498"/>
        <item x="88"/>
        <item x="353"/>
        <item x="324"/>
        <item x="416"/>
        <item x="453"/>
        <item x="45"/>
        <item x="471"/>
        <item x="391"/>
        <item x="436"/>
        <item x="467"/>
        <item x="399"/>
        <item x="383"/>
        <item x="377"/>
        <item x="443"/>
        <item x="424"/>
        <item x="199"/>
        <item x="393"/>
        <item x="312"/>
        <item x="380"/>
        <item x="34"/>
        <item x="114"/>
        <item x="258"/>
        <item x="178"/>
        <item x="243"/>
        <item x="155"/>
        <item x="469"/>
        <item x="91"/>
        <item x="463"/>
        <item x="294"/>
        <item x="240"/>
        <item x="242"/>
        <item x="143"/>
        <item x="126"/>
        <item x="411"/>
        <item x="206"/>
        <item x="384"/>
        <item x="156"/>
        <item x="350"/>
        <item x="52"/>
        <item x="479"/>
        <item x="57"/>
        <item x="366"/>
        <item x="50"/>
        <item x="327"/>
        <item x="193"/>
        <item x="342"/>
        <item x="343"/>
        <item x="257"/>
        <item x="339"/>
        <item x="71"/>
        <item x="303"/>
        <item x="494"/>
        <item x="167"/>
        <item x="428"/>
        <item x="90"/>
        <item x="85"/>
        <item x="23"/>
        <item x="236"/>
        <item x="299"/>
        <item x="260"/>
        <item x="472"/>
        <item x="470"/>
        <item x="418"/>
        <item x="493"/>
        <item x="448"/>
        <item x="415"/>
        <item x="437"/>
        <item x="323"/>
        <item x="289"/>
        <item x="314"/>
        <item x="311"/>
        <item x="131"/>
        <item x="262"/>
        <item x="400"/>
        <item x="430"/>
        <item x="389"/>
        <item x="164"/>
        <item x="290"/>
        <item x="417"/>
        <item x="367"/>
        <item x="362"/>
        <item x="230"/>
        <item x="212"/>
        <item x="28"/>
        <item x="187"/>
        <item x="92"/>
        <item x="274"/>
        <item x="482"/>
        <item x="130"/>
        <item x="180"/>
        <item x="322"/>
        <item x="61"/>
        <item x="280"/>
        <item x="197"/>
        <item x="122"/>
        <item x="478"/>
        <item x="261"/>
        <item x="268"/>
        <item x="457"/>
        <item x="84"/>
        <item x="434"/>
        <item x="464"/>
        <item x="74"/>
        <item x="338"/>
        <item x="123"/>
        <item x="110"/>
        <item x="447"/>
        <item x="308"/>
        <item x="183"/>
        <item x="200"/>
        <item x="154"/>
        <item x="153"/>
        <item x="409"/>
        <item x="104"/>
        <item x="238"/>
        <item x="431"/>
        <item x="174"/>
        <item x="210"/>
        <item x="341"/>
        <item x="390"/>
        <item x="86"/>
        <item x="462"/>
        <item x="41"/>
        <item x="306"/>
        <item x="29"/>
        <item x="82"/>
        <item x="231"/>
        <item x="442"/>
        <item x="17"/>
        <item x="166"/>
        <item x="281"/>
        <item x="293"/>
        <item x="56"/>
        <item x="496"/>
        <item x="27"/>
        <item x="259"/>
        <item x="94"/>
        <item x="398"/>
        <item x="422"/>
        <item x="378"/>
        <item x="196"/>
        <item x="275"/>
        <item x="360"/>
        <item x="209"/>
        <item x="403"/>
        <item x="497"/>
        <item x="12"/>
        <item x="477"/>
        <item x="256"/>
        <item x="218"/>
        <item x="271"/>
        <item x="481"/>
        <item x="444"/>
        <item x="35"/>
        <item x="315"/>
        <item x="112"/>
        <item x="38"/>
        <item x="392"/>
        <item x="340"/>
        <item x="44"/>
        <item x="235"/>
        <item x="433"/>
        <item x="140"/>
        <item x="215"/>
        <item x="228"/>
        <item x="237"/>
        <item x="139"/>
        <item x="40"/>
        <item x="108"/>
        <item x="117"/>
        <item x="9"/>
        <item x="186"/>
        <item x="20"/>
        <item x="363"/>
        <item x="232"/>
        <item x="2"/>
        <item x="32"/>
        <item x="332"/>
        <item x="78"/>
        <item x="47"/>
        <item x="147"/>
        <item x="83"/>
        <item x="250"/>
        <item x="146"/>
        <item x="60"/>
        <item x="414"/>
        <item x="397"/>
        <item x="172"/>
        <item x="254"/>
        <item x="168"/>
        <item x="358"/>
        <item x="205"/>
        <item x="317"/>
        <item x="307"/>
        <item x="277"/>
        <item x="176"/>
        <item x="16"/>
        <item x="412"/>
        <item x="43"/>
        <item x="354"/>
        <item x="265"/>
        <item x="119"/>
        <item x="10"/>
        <item x="460"/>
        <item x="116"/>
        <item x="283"/>
        <item x="217"/>
        <item x="37"/>
        <item x="451"/>
        <item x="495"/>
        <item x="405"/>
        <item x="181"/>
        <item x="490"/>
        <item x="66"/>
        <item x="279"/>
        <item x="325"/>
        <item x="420"/>
        <item x="58"/>
        <item x="291"/>
        <item x="31"/>
        <item x="64"/>
        <item x="227"/>
        <item x="247"/>
        <item x="381"/>
        <item x="263"/>
        <item x="65"/>
        <item x="356"/>
        <item x="266"/>
        <item x="19"/>
        <item x="452"/>
        <item x="15"/>
        <item x="445"/>
        <item x="466"/>
        <item x="309"/>
        <item x="87"/>
        <item x="48"/>
        <item x="359"/>
        <item x="25"/>
        <item x="286"/>
        <item x="435"/>
        <item x="413"/>
        <item x="458"/>
        <item x="121"/>
        <item x="53"/>
        <item x="137"/>
        <item x="224"/>
        <item x="396"/>
        <item x="269"/>
        <item x="203"/>
        <item x="141"/>
        <item x="220"/>
        <item x="113"/>
        <item x="24"/>
        <item x="427"/>
        <item x="328"/>
        <item x="273"/>
        <item x="450"/>
        <item x="465"/>
        <item x="144"/>
        <item x="81"/>
        <item x="79"/>
        <item x="426"/>
        <item x="204"/>
        <item x="115"/>
        <item x="128"/>
        <item x="161"/>
        <item x="162"/>
        <item x="282"/>
        <item x="401"/>
        <item x="99"/>
        <item x="336"/>
        <item x="239"/>
        <item x="160"/>
        <item x="337"/>
        <item x="118"/>
        <item x="407"/>
        <item x="395"/>
        <item x="6"/>
        <item x="214"/>
        <item x="109"/>
        <item x="386"/>
        <item x="255"/>
        <item x="432"/>
        <item x="241"/>
        <item x="364"/>
        <item x="135"/>
        <item x="13"/>
        <item x="150"/>
        <item x="408"/>
        <item x="102"/>
        <item x="449"/>
        <item x="351"/>
        <item x="321"/>
        <item x="244"/>
        <item x="376"/>
        <item x="454"/>
        <item x="70"/>
        <item x="429"/>
        <item x="248"/>
        <item x="190"/>
        <item x="211"/>
        <item x="385"/>
        <item x="223"/>
        <item x="202"/>
        <item x="3"/>
        <item x="348"/>
        <item x="55"/>
        <item x="198"/>
        <item x="387"/>
        <item x="124"/>
        <item x="159"/>
        <item x="370"/>
        <item x="138"/>
        <item x="226"/>
        <item x="347"/>
        <item x="103"/>
        <item x="59"/>
        <item x="21"/>
        <item x="219"/>
        <item x="252"/>
        <item x="39"/>
        <item x="320"/>
        <item x="1"/>
        <item x="100"/>
        <item x="455"/>
        <item x="300"/>
        <item x="264"/>
        <item x="297"/>
        <item x="95"/>
        <item x="319"/>
        <item x="77"/>
        <item x="188"/>
        <item x="361"/>
        <item x="142"/>
        <item x="296"/>
        <item x="173"/>
        <item x="105"/>
        <item x="68"/>
        <item x="221"/>
        <item x="169"/>
        <item x="163"/>
        <item x="459"/>
        <item x="468"/>
        <item x="330"/>
        <item x="80"/>
        <item x="285"/>
        <item x="344"/>
        <item x="402"/>
        <item x="488"/>
        <item x="439"/>
        <item x="326"/>
        <item x="357"/>
        <item x="369"/>
        <item x="346"/>
        <item x="26"/>
        <item x="334"/>
        <item x="213"/>
        <item x="441"/>
        <item x="129"/>
        <item x="406"/>
        <item x="410"/>
        <item x="8"/>
        <item x="96"/>
        <item x="149"/>
        <item x="404"/>
        <item x="69"/>
        <item x="345"/>
        <item x="229"/>
        <item x="461"/>
        <item x="216"/>
        <item x="288"/>
        <item x="93"/>
        <item x="157"/>
        <item x="134"/>
        <item x="480"/>
        <item x="249"/>
        <item x="148"/>
        <item x="310"/>
        <item x="179"/>
        <item x="201"/>
        <item x="194"/>
        <item x="62"/>
        <item x="486"/>
        <item x="14"/>
        <item x="30"/>
        <item x="145"/>
        <item x="456"/>
        <item x="301"/>
        <item x="72"/>
        <item x="423"/>
        <item x="374"/>
        <item x="492"/>
        <item x="225"/>
        <item x="42"/>
        <item x="375"/>
        <item x="484"/>
        <item x="67"/>
        <item x="368"/>
        <item x="75"/>
        <item x="101"/>
        <item x="316"/>
        <item x="349"/>
        <item x="331"/>
        <item x="111"/>
        <item x="207"/>
        <item x="33"/>
        <item x="151"/>
        <item x="485"/>
        <item x="76"/>
        <item x="51"/>
        <item x="106"/>
        <item x="365"/>
        <item x="208"/>
        <item x="49"/>
        <item x="133"/>
        <item x="171"/>
        <item x="473"/>
        <item x="11"/>
        <item x="295"/>
        <item x="234"/>
        <item x="170"/>
        <item x="487"/>
        <item x="425"/>
        <item x="372"/>
        <item x="189"/>
        <item x="474"/>
        <item x="18"/>
        <item x="304"/>
        <item x="245"/>
        <item x="371"/>
        <item x="97"/>
        <item x="246"/>
        <item x="335"/>
        <item x="132"/>
        <item x="278"/>
        <item x="192"/>
        <item x="373"/>
        <item x="284"/>
        <item x="0"/>
        <item x="177"/>
        <item x="54"/>
        <item x="270"/>
        <item x="89"/>
        <item x="267"/>
        <item x="251"/>
        <item x="382"/>
        <item x="182"/>
        <item x="394"/>
        <item x="276"/>
        <item x="165"/>
        <item x="483"/>
        <item x="127"/>
        <item x="379"/>
        <item x="352"/>
        <item x="7"/>
        <item x="491"/>
        <item x="287"/>
        <item x="73"/>
        <item x="298"/>
        <item x="475"/>
        <item x="107"/>
        <item x="313"/>
        <item x="158"/>
        <item x="305"/>
        <item x="355"/>
        <item x="329"/>
        <item x="476"/>
        <item x="22"/>
        <item x="302"/>
        <item x="125"/>
        <item x="184"/>
        <item x="499"/>
        <item t="default"/>
      </items>
    </pivotField>
    <pivotField showAll="0"/>
    <pivotField axis="axisCol" showAll="0">
      <items count="11">
        <item x="1"/>
        <item n="Label" x="3"/>
        <item x="6"/>
        <item x="0"/>
        <item x="2"/>
        <item x="4"/>
        <item x="7"/>
        <item x="5"/>
        <item x="8"/>
        <item x="9"/>
        <item t="default"/>
      </items>
    </pivotField>
    <pivotField showAll="0"/>
  </pivotFields>
  <rowFields count="1">
    <field x="1"/>
  </rowFields>
  <rowItems count="12">
    <i>
      <x/>
    </i>
    <i>
      <x v="1"/>
    </i>
    <i>
      <x v="2"/>
    </i>
    <i>
      <x v="3"/>
    </i>
    <i>
      <x v="4"/>
    </i>
    <i>
      <x v="5"/>
    </i>
    <i>
      <x v="6"/>
    </i>
    <i>
      <x v="7"/>
    </i>
    <i>
      <x v="8"/>
    </i>
    <i>
      <x v="9"/>
    </i>
    <i>
      <x v="10"/>
    </i>
    <i t="grand">
      <x/>
    </i>
  </rowItems>
  <colFields count="1">
    <field x="4"/>
  </colFields>
  <colItems count="11">
    <i>
      <x/>
    </i>
    <i>
      <x v="1"/>
    </i>
    <i>
      <x v="2"/>
    </i>
    <i>
      <x v="3"/>
    </i>
    <i>
      <x v="4"/>
    </i>
    <i>
      <x v="5"/>
    </i>
    <i>
      <x v="6"/>
    </i>
    <i>
      <x v="7"/>
    </i>
    <i>
      <x v="8"/>
    </i>
    <i>
      <x v="9"/>
    </i>
    <i t="grand">
      <x/>
    </i>
  </colItems>
  <dataFields count="1">
    <dataField name="Sum of Price" fld="2" baseField="0" baseItem="0"/>
  </dataFields>
  <formats count="4">
    <format dxfId="85">
      <pivotArea dataOnly="0" labelOnly="1" fieldPosition="0">
        <references count="1">
          <reference field="4" count="1">
            <x v="0"/>
          </reference>
        </references>
      </pivotArea>
    </format>
    <format dxfId="84">
      <pivotArea outline="0" collapsedLevelsAreSubtotals="1" fieldPosition="0">
        <references count="1">
          <reference field="4" count="1" selected="0">
            <x v="0"/>
          </reference>
        </references>
      </pivotArea>
    </format>
    <format dxfId="83">
      <pivotArea outline="0" collapsedLevelsAreSubtotals="1" fieldPosition="0">
        <references count="1">
          <reference field="4" count="8" selected="0">
            <x v="1"/>
            <x v="2"/>
            <x v="3"/>
            <x v="4"/>
            <x v="5"/>
            <x v="6"/>
            <x v="7"/>
            <x v="8"/>
          </reference>
        </references>
      </pivotArea>
    </format>
    <format dxfId="82">
      <pivotArea grandCol="1" outline="0" collapsedLevelsAreSubtotals="1" fieldPosition="0"/>
    </format>
  </formats>
  <chartFormats count="11">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1" format="7" series="1">
      <pivotArea type="data" outline="0" fieldPosition="0">
        <references count="2">
          <reference field="4294967294" count="1" selected="0">
            <x v="0"/>
          </reference>
          <reference field="4" count="1" selected="0">
            <x v="7"/>
          </reference>
        </references>
      </pivotArea>
    </chartFormat>
    <chartFormat chart="1" format="8" series="1">
      <pivotArea type="data" outline="0" fieldPosition="0">
        <references count="2">
          <reference field="4294967294" count="1" selected="0">
            <x v="0"/>
          </reference>
          <reference field="4" count="1" selected="0">
            <x v="8"/>
          </reference>
        </references>
      </pivotArea>
    </chartFormat>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6447936-8A0F-4313-B0B1-4F2BE4DDCAF0}" sourceName="Product">
  <pivotTables>
    <pivotTable tabId="6" name="PivotTable1"/>
  </pivotTables>
  <data>
    <tabular pivotCacheId="485602332">
      <items count="11">
        <i x="4" s="1"/>
        <i x="7" s="1"/>
        <i x="1" s="1"/>
        <i x="3" s="1"/>
        <i x="8" s="1"/>
        <i x="2" s="1"/>
        <i x="6" s="1"/>
        <i x="9" s="1"/>
        <i x="0" s="1"/>
        <i x="5"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62BEF3F9-DB34-461C-8EE5-B49F5B242ECE}" sourceName="Price">
  <pivotTables>
    <pivotTable tabId="6" name="PivotTable1"/>
  </pivotTables>
  <data>
    <tabular pivotCacheId="485602332">
      <items count="500">
        <i x="421" s="1"/>
        <i x="63" s="1"/>
        <i x="233" s="1"/>
        <i x="120" s="1"/>
        <i x="292" s="1"/>
        <i x="438" s="1"/>
        <i x="5" s="1"/>
        <i x="185" s="1"/>
        <i x="175" s="1"/>
        <i x="440" s="1"/>
        <i x="195" s="1"/>
        <i x="222" s="1"/>
        <i x="36" s="1"/>
        <i x="318" s="1"/>
        <i x="489" s="1"/>
        <i x="446" s="1"/>
        <i x="98" s="1"/>
        <i x="333" s="1"/>
        <i x="46" s="1"/>
        <i x="388" s="1"/>
        <i x="419" s="1"/>
        <i x="272" s="1"/>
        <i x="253" s="1"/>
        <i x="191" s="1"/>
        <i x="152" s="1"/>
        <i x="4" s="1"/>
        <i x="136" s="1"/>
        <i x="498" s="1"/>
        <i x="88" s="1"/>
        <i x="353" s="1"/>
        <i x="324" s="1"/>
        <i x="416" s="1"/>
        <i x="453" s="1"/>
        <i x="45" s="1"/>
        <i x="471" s="1"/>
        <i x="391" s="1"/>
        <i x="436" s="1"/>
        <i x="467" s="1"/>
        <i x="399" s="1"/>
        <i x="383" s="1"/>
        <i x="377" s="1"/>
        <i x="443" s="1"/>
        <i x="424" s="1"/>
        <i x="199" s="1"/>
        <i x="393" s="1"/>
        <i x="312" s="1"/>
        <i x="380" s="1"/>
        <i x="34" s="1"/>
        <i x="114" s="1"/>
        <i x="258" s="1"/>
        <i x="178" s="1"/>
        <i x="243" s="1"/>
        <i x="155" s="1"/>
        <i x="469" s="1"/>
        <i x="91" s="1"/>
        <i x="463" s="1"/>
        <i x="294" s="1"/>
        <i x="240" s="1"/>
        <i x="242" s="1"/>
        <i x="143" s="1"/>
        <i x="126" s="1"/>
        <i x="411" s="1"/>
        <i x="206" s="1"/>
        <i x="384" s="1"/>
        <i x="156" s="1"/>
        <i x="350" s="1"/>
        <i x="52" s="1"/>
        <i x="479" s="1"/>
        <i x="57" s="1"/>
        <i x="366" s="1"/>
        <i x="50" s="1"/>
        <i x="327" s="1"/>
        <i x="193" s="1"/>
        <i x="342" s="1"/>
        <i x="343" s="1"/>
        <i x="257" s="1"/>
        <i x="339" s="1"/>
        <i x="71" s="1"/>
        <i x="303" s="1"/>
        <i x="494" s="1"/>
        <i x="167" s="1"/>
        <i x="428" s="1"/>
        <i x="90" s="1"/>
        <i x="85" s="1"/>
        <i x="23" s="1"/>
        <i x="236" s="1"/>
        <i x="299" s="1"/>
        <i x="260" s="1"/>
        <i x="472" s="1"/>
        <i x="470" s="1"/>
        <i x="418" s="1"/>
        <i x="493" s="1"/>
        <i x="448" s="1"/>
        <i x="415" s="1"/>
        <i x="437" s="1"/>
        <i x="323" s="1"/>
        <i x="289" s="1"/>
        <i x="314" s="1"/>
        <i x="311" s="1"/>
        <i x="131" s="1"/>
        <i x="262" s="1"/>
        <i x="400" s="1"/>
        <i x="430" s="1"/>
        <i x="389" s="1"/>
        <i x="164" s="1"/>
        <i x="290" s="1"/>
        <i x="417" s="1"/>
        <i x="367" s="1"/>
        <i x="362" s="1"/>
        <i x="230" s="1"/>
        <i x="212" s="1"/>
        <i x="28" s="1"/>
        <i x="187" s="1"/>
        <i x="92" s="1"/>
        <i x="274" s="1"/>
        <i x="482" s="1"/>
        <i x="130" s="1"/>
        <i x="180" s="1"/>
        <i x="322" s="1"/>
        <i x="61" s="1"/>
        <i x="280" s="1"/>
        <i x="197" s="1"/>
        <i x="122" s="1"/>
        <i x="478" s="1"/>
        <i x="261" s="1"/>
        <i x="268" s="1"/>
        <i x="457" s="1"/>
        <i x="84" s="1"/>
        <i x="434" s="1"/>
        <i x="464" s="1"/>
        <i x="74" s="1"/>
        <i x="338" s="1"/>
        <i x="123" s="1"/>
        <i x="110" s="1"/>
        <i x="447" s="1"/>
        <i x="308" s="1"/>
        <i x="183" s="1"/>
        <i x="200" s="1"/>
        <i x="154" s="1"/>
        <i x="153" s="1"/>
        <i x="409" s="1"/>
        <i x="104" s="1"/>
        <i x="238" s="1"/>
        <i x="431" s="1"/>
        <i x="174" s="1"/>
        <i x="210" s="1"/>
        <i x="341" s="1"/>
        <i x="390" s="1"/>
        <i x="86" s="1"/>
        <i x="462" s="1"/>
        <i x="41" s="1"/>
        <i x="306" s="1"/>
        <i x="29" s="1"/>
        <i x="82" s="1"/>
        <i x="231" s="1"/>
        <i x="442" s="1"/>
        <i x="17" s="1"/>
        <i x="166" s="1"/>
        <i x="281" s="1"/>
        <i x="293" s="1"/>
        <i x="56" s="1"/>
        <i x="496" s="1"/>
        <i x="27" s="1"/>
        <i x="259" s="1"/>
        <i x="94" s="1"/>
        <i x="398" s="1"/>
        <i x="422" s="1"/>
        <i x="378" s="1"/>
        <i x="196" s="1"/>
        <i x="275" s="1"/>
        <i x="360" s="1"/>
        <i x="209" s="1"/>
        <i x="403" s="1"/>
        <i x="497" s="1"/>
        <i x="12" s="1"/>
        <i x="477" s="1"/>
        <i x="256" s="1"/>
        <i x="218" s="1"/>
        <i x="271" s="1"/>
        <i x="481" s="1"/>
        <i x="444" s="1"/>
        <i x="35" s="1"/>
        <i x="315" s="1"/>
        <i x="112" s="1"/>
        <i x="38" s="1"/>
        <i x="392" s="1"/>
        <i x="340" s="1"/>
        <i x="44" s="1"/>
        <i x="235" s="1"/>
        <i x="433" s="1"/>
        <i x="140" s="1"/>
        <i x="215" s="1"/>
        <i x="228" s="1"/>
        <i x="237" s="1"/>
        <i x="139" s="1"/>
        <i x="40" s="1"/>
        <i x="108" s="1"/>
        <i x="117" s="1"/>
        <i x="9" s="1"/>
        <i x="186" s="1"/>
        <i x="20" s="1"/>
        <i x="363" s="1"/>
        <i x="232" s="1"/>
        <i x="2" s="1"/>
        <i x="32" s="1"/>
        <i x="332" s="1"/>
        <i x="78" s="1"/>
        <i x="47" s="1"/>
        <i x="147" s="1"/>
        <i x="83" s="1"/>
        <i x="250" s="1"/>
        <i x="146" s="1"/>
        <i x="60" s="1"/>
        <i x="414" s="1"/>
        <i x="397" s="1"/>
        <i x="172" s="1"/>
        <i x="254" s="1"/>
        <i x="168" s="1"/>
        <i x="358" s="1"/>
        <i x="205" s="1"/>
        <i x="317" s="1"/>
        <i x="307" s="1"/>
        <i x="277" s="1"/>
        <i x="176" s="1"/>
        <i x="16" s="1"/>
        <i x="412" s="1"/>
        <i x="43" s="1"/>
        <i x="354" s="1"/>
        <i x="265" s="1"/>
        <i x="119" s="1"/>
        <i x="10" s="1"/>
        <i x="460" s="1"/>
        <i x="116" s="1"/>
        <i x="283" s="1"/>
        <i x="217" s="1"/>
        <i x="37" s="1"/>
        <i x="451" s="1"/>
        <i x="495" s="1"/>
        <i x="405" s="1"/>
        <i x="181" s="1"/>
        <i x="490" s="1"/>
        <i x="66" s="1"/>
        <i x="279" s="1"/>
        <i x="325" s="1"/>
        <i x="420" s="1"/>
        <i x="58" s="1"/>
        <i x="291" s="1"/>
        <i x="31" s="1"/>
        <i x="64" s="1"/>
        <i x="227" s="1"/>
        <i x="247" s="1"/>
        <i x="381" s="1"/>
        <i x="263" s="1"/>
        <i x="65" s="1"/>
        <i x="356" s="1"/>
        <i x="266" s="1"/>
        <i x="19" s="1"/>
        <i x="452" s="1"/>
        <i x="15" s="1"/>
        <i x="445" s="1"/>
        <i x="466" s="1"/>
        <i x="309" s="1"/>
        <i x="87" s="1"/>
        <i x="48" s="1"/>
        <i x="359" s="1"/>
        <i x="25" s="1"/>
        <i x="286" s="1"/>
        <i x="435" s="1"/>
        <i x="413" s="1"/>
        <i x="458" s="1"/>
        <i x="121" s="1"/>
        <i x="53" s="1"/>
        <i x="137" s="1"/>
        <i x="224" s="1"/>
        <i x="396" s="1"/>
        <i x="269" s="1"/>
        <i x="203" s="1"/>
        <i x="141" s="1"/>
        <i x="220" s="1"/>
        <i x="113" s="1"/>
        <i x="24" s="1"/>
        <i x="427" s="1"/>
        <i x="328" s="1"/>
        <i x="273" s="1"/>
        <i x="450" s="1"/>
        <i x="465" s="1"/>
        <i x="144" s="1"/>
        <i x="81" s="1"/>
        <i x="79" s="1"/>
        <i x="426" s="1"/>
        <i x="204" s="1"/>
        <i x="115" s="1"/>
        <i x="128" s="1"/>
        <i x="161" s="1"/>
        <i x="162" s="1"/>
        <i x="282" s="1"/>
        <i x="401" s="1"/>
        <i x="99" s="1"/>
        <i x="336" s="1"/>
        <i x="239" s="1"/>
        <i x="160" s="1"/>
        <i x="337" s="1"/>
        <i x="118" s="1"/>
        <i x="407" s="1"/>
        <i x="395" s="1"/>
        <i x="6" s="1"/>
        <i x="214" s="1"/>
        <i x="109" s="1"/>
        <i x="386" s="1"/>
        <i x="255" s="1"/>
        <i x="432" s="1"/>
        <i x="241" s="1"/>
        <i x="364" s="1"/>
        <i x="135" s="1"/>
        <i x="13" s="1"/>
        <i x="150" s="1"/>
        <i x="408" s="1"/>
        <i x="102" s="1"/>
        <i x="449" s="1"/>
        <i x="351" s="1"/>
        <i x="321" s="1"/>
        <i x="244" s="1"/>
        <i x="376" s="1"/>
        <i x="454" s="1"/>
        <i x="70" s="1"/>
        <i x="429" s="1"/>
        <i x="248" s="1"/>
        <i x="190" s="1"/>
        <i x="211" s="1"/>
        <i x="385" s="1"/>
        <i x="223" s="1"/>
        <i x="202" s="1"/>
        <i x="3" s="1"/>
        <i x="348" s="1"/>
        <i x="55" s="1"/>
        <i x="198" s="1"/>
        <i x="387" s="1"/>
        <i x="124" s="1"/>
        <i x="159" s="1"/>
        <i x="370" s="1"/>
        <i x="138" s="1"/>
        <i x="226" s="1"/>
        <i x="347" s="1"/>
        <i x="103" s="1"/>
        <i x="59" s="1"/>
        <i x="21" s="1"/>
        <i x="219" s="1"/>
        <i x="252" s="1"/>
        <i x="39" s="1"/>
        <i x="320" s="1"/>
        <i x="1" s="1"/>
        <i x="100" s="1"/>
        <i x="455" s="1"/>
        <i x="300" s="1"/>
        <i x="264" s="1"/>
        <i x="297" s="1"/>
        <i x="95" s="1"/>
        <i x="319" s="1"/>
        <i x="77" s="1"/>
        <i x="188" s="1"/>
        <i x="361" s="1"/>
        <i x="142" s="1"/>
        <i x="296" s="1"/>
        <i x="173" s="1"/>
        <i x="105" s="1"/>
        <i x="68" s="1"/>
        <i x="221" s="1"/>
        <i x="169" s="1"/>
        <i x="163" s="1"/>
        <i x="459" s="1"/>
        <i x="468" s="1"/>
        <i x="330" s="1"/>
        <i x="80" s="1"/>
        <i x="285" s="1"/>
        <i x="344" s="1"/>
        <i x="402" s="1"/>
        <i x="488" s="1"/>
        <i x="439" s="1"/>
        <i x="326" s="1"/>
        <i x="357" s="1"/>
        <i x="369" s="1"/>
        <i x="346" s="1"/>
        <i x="26" s="1"/>
        <i x="334" s="1"/>
        <i x="213" s="1"/>
        <i x="441" s="1"/>
        <i x="129" s="1"/>
        <i x="406" s="1"/>
        <i x="410" s="1"/>
        <i x="8" s="1"/>
        <i x="96" s="1"/>
        <i x="149" s="1"/>
        <i x="404" s="1"/>
        <i x="69" s="1"/>
        <i x="345" s="1"/>
        <i x="229" s="1"/>
        <i x="461" s="1"/>
        <i x="216" s="1"/>
        <i x="288" s="1"/>
        <i x="93" s="1"/>
        <i x="157" s="1"/>
        <i x="134" s="1"/>
        <i x="480" s="1"/>
        <i x="249" s="1"/>
        <i x="148" s="1"/>
        <i x="310" s="1"/>
        <i x="179" s="1"/>
        <i x="201" s="1"/>
        <i x="194" s="1"/>
        <i x="62" s="1"/>
        <i x="486" s="1"/>
        <i x="14" s="1"/>
        <i x="30" s="1"/>
        <i x="145" s="1"/>
        <i x="456" s="1"/>
        <i x="301" s="1"/>
        <i x="72" s="1"/>
        <i x="423" s="1"/>
        <i x="374" s="1"/>
        <i x="492" s="1"/>
        <i x="225" s="1"/>
        <i x="42" s="1"/>
        <i x="375" s="1"/>
        <i x="484" s="1"/>
        <i x="67" s="1"/>
        <i x="368" s="1"/>
        <i x="75" s="1"/>
        <i x="101" s="1"/>
        <i x="316" s="1"/>
        <i x="349" s="1"/>
        <i x="331" s="1"/>
        <i x="111" s="1"/>
        <i x="207" s="1"/>
        <i x="33" s="1"/>
        <i x="151" s="1"/>
        <i x="485" s="1"/>
        <i x="76" s="1"/>
        <i x="51" s="1"/>
        <i x="106" s="1"/>
        <i x="365" s="1"/>
        <i x="208" s="1"/>
        <i x="49" s="1"/>
        <i x="133" s="1"/>
        <i x="171" s="1"/>
        <i x="473" s="1"/>
        <i x="11" s="1"/>
        <i x="295" s="1"/>
        <i x="234" s="1"/>
        <i x="170" s="1"/>
        <i x="487" s="1"/>
        <i x="425" s="1"/>
        <i x="372" s="1"/>
        <i x="189" s="1"/>
        <i x="474" s="1"/>
        <i x="18" s="1"/>
        <i x="304" s="1"/>
        <i x="245" s="1"/>
        <i x="371" s="1"/>
        <i x="97" s="1"/>
        <i x="246" s="1"/>
        <i x="335" s="1"/>
        <i x="132" s="1"/>
        <i x="278" s="1"/>
        <i x="192" s="1"/>
        <i x="373" s="1"/>
        <i x="284" s="1"/>
        <i x="0" s="1"/>
        <i x="177" s="1"/>
        <i x="54" s="1"/>
        <i x="270" s="1"/>
        <i x="89" s="1"/>
        <i x="267" s="1"/>
        <i x="251" s="1"/>
        <i x="382" s="1"/>
        <i x="182" s="1"/>
        <i x="394" s="1"/>
        <i x="276" s="1"/>
        <i x="165" s="1"/>
        <i x="483" s="1"/>
        <i x="127" s="1"/>
        <i x="379" s="1"/>
        <i x="352" s="1"/>
        <i x="7" s="1"/>
        <i x="491" s="1"/>
        <i x="287" s="1"/>
        <i x="73" s="1"/>
        <i x="298" s="1"/>
        <i x="475" s="1"/>
        <i x="107" s="1"/>
        <i x="313" s="1"/>
        <i x="158" s="1"/>
        <i x="305" s="1"/>
        <i x="355" s="1"/>
        <i x="329" s="1"/>
        <i x="476" s="1"/>
        <i x="22" s="1"/>
        <i x="302" s="1"/>
        <i x="125" s="1"/>
        <i x="184" s="1"/>
        <i x="49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35FC07-A8B1-4ACC-AE1C-ED1B524CE231}" sourceName="Category">
  <pivotTables>
    <pivotTable tabId="6" name="PivotTable1"/>
  </pivotTables>
  <data>
    <tabular pivotCacheId="485602332">
      <items count="10">
        <i x="1" s="1"/>
        <i x="6" s="1"/>
        <i x="0" s="1"/>
        <i x="2" s="1"/>
        <i x="3" s="1"/>
        <i x="4" s="1"/>
        <i x="7" s="1"/>
        <i x="5" s="1"/>
        <i x="8" s="1"/>
        <i x="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8942F2B-72BB-4C81-9CED-243124D3D10B}" sourceName="Category">
  <pivotTables>
    <pivotTable tabId="6" name="PivotTable2"/>
  </pivotTables>
  <data>
    <tabular pivotCacheId="485602332">
      <items count="10">
        <i x="1" s="1"/>
        <i x="3" s="1"/>
        <i x="6" s="1"/>
        <i x="0" s="1"/>
        <i x="2" s="1"/>
        <i x="4" s="1"/>
        <i x="7" s="1"/>
        <i x="5" s="1"/>
        <i x="8" s="1"/>
        <i x="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1" xr10:uid="{33EC045F-1355-4FB1-9ACB-AD95DE64BE08}" sourceName="Price">
  <pivotTables>
    <pivotTable tabId="6" name="PivotTable2"/>
  </pivotTables>
  <data>
    <tabular pivotCacheId="485602332">
      <items count="500">
        <i x="421" s="1"/>
        <i x="63" s="1"/>
        <i x="233" s="1"/>
        <i x="120" s="1"/>
        <i x="292" s="1"/>
        <i x="438" s="1"/>
        <i x="5" s="1"/>
        <i x="185" s="1"/>
        <i x="175" s="1"/>
        <i x="440" s="1"/>
        <i x="195" s="1"/>
        <i x="222" s="1"/>
        <i x="36" s="1"/>
        <i x="318" s="1"/>
        <i x="489" s="1"/>
        <i x="446" s="1"/>
        <i x="98" s="1"/>
        <i x="333" s="1"/>
        <i x="46" s="1"/>
        <i x="388" s="1"/>
        <i x="419" s="1"/>
        <i x="272" s="1"/>
        <i x="253" s="1"/>
        <i x="191" s="1"/>
        <i x="152" s="1"/>
        <i x="4" s="1"/>
        <i x="136" s="1"/>
        <i x="498" s="1"/>
        <i x="88" s="1"/>
        <i x="353" s="1"/>
        <i x="324" s="1"/>
        <i x="416" s="1"/>
        <i x="453" s="1"/>
        <i x="45" s="1"/>
        <i x="471" s="1"/>
        <i x="391" s="1"/>
        <i x="436" s="1"/>
        <i x="467" s="1"/>
        <i x="399" s="1"/>
        <i x="383" s="1"/>
        <i x="377" s="1"/>
        <i x="443" s="1"/>
        <i x="424" s="1"/>
        <i x="199" s="1"/>
        <i x="393" s="1"/>
        <i x="312" s="1"/>
        <i x="380" s="1"/>
        <i x="34" s="1"/>
        <i x="114" s="1"/>
        <i x="258" s="1"/>
        <i x="178" s="1"/>
        <i x="243" s="1"/>
        <i x="155" s="1"/>
        <i x="469" s="1"/>
        <i x="91" s="1"/>
        <i x="463" s="1"/>
        <i x="294" s="1"/>
        <i x="240" s="1"/>
        <i x="242" s="1"/>
        <i x="143" s="1"/>
        <i x="126" s="1"/>
        <i x="411" s="1"/>
        <i x="206" s="1"/>
        <i x="384" s="1"/>
        <i x="156" s="1"/>
        <i x="350" s="1"/>
        <i x="52" s="1"/>
        <i x="479" s="1"/>
        <i x="57" s="1"/>
        <i x="366" s="1"/>
        <i x="50" s="1"/>
        <i x="327" s="1"/>
        <i x="193" s="1"/>
        <i x="342" s="1"/>
        <i x="343" s="1"/>
        <i x="257" s="1"/>
        <i x="339" s="1"/>
        <i x="71" s="1"/>
        <i x="303" s="1"/>
        <i x="494" s="1"/>
        <i x="167" s="1"/>
        <i x="428" s="1"/>
        <i x="90" s="1"/>
        <i x="85" s="1"/>
        <i x="23" s="1"/>
        <i x="236" s="1"/>
        <i x="299" s="1"/>
        <i x="260" s="1"/>
        <i x="472" s="1"/>
        <i x="470" s="1"/>
        <i x="418" s="1"/>
        <i x="493" s="1"/>
        <i x="448" s="1"/>
        <i x="415" s="1"/>
        <i x="437" s="1"/>
        <i x="323" s="1"/>
        <i x="289" s="1"/>
        <i x="314" s="1"/>
        <i x="311" s="1"/>
        <i x="131" s="1"/>
        <i x="262" s="1"/>
        <i x="400" s="1"/>
        <i x="430" s="1"/>
        <i x="389" s="1"/>
        <i x="164" s="1"/>
        <i x="290" s="1"/>
        <i x="417" s="1"/>
        <i x="367" s="1"/>
        <i x="362" s="1"/>
        <i x="230" s="1"/>
        <i x="212" s="1"/>
        <i x="28" s="1"/>
        <i x="187" s="1"/>
        <i x="92" s="1"/>
        <i x="274" s="1"/>
        <i x="482" s="1"/>
        <i x="130" s="1"/>
        <i x="180" s="1"/>
        <i x="322" s="1"/>
        <i x="61" s="1"/>
        <i x="280" s="1"/>
        <i x="197" s="1"/>
        <i x="122" s="1"/>
        <i x="478" s="1"/>
        <i x="261" s="1"/>
        <i x="268" s="1"/>
        <i x="457" s="1"/>
        <i x="84" s="1"/>
        <i x="434" s="1"/>
        <i x="464" s="1"/>
        <i x="74" s="1"/>
        <i x="338" s="1"/>
        <i x="123" s="1"/>
        <i x="110" s="1"/>
        <i x="447" s="1"/>
        <i x="308" s="1"/>
        <i x="183" s="1"/>
        <i x="200" s="1"/>
        <i x="154" s="1"/>
        <i x="153" s="1"/>
        <i x="409" s="1"/>
        <i x="104" s="1"/>
        <i x="238" s="1"/>
        <i x="431" s="1"/>
        <i x="174" s="1"/>
        <i x="210" s="1"/>
        <i x="341" s="1"/>
        <i x="390" s="1"/>
        <i x="86" s="1"/>
        <i x="462" s="1"/>
        <i x="41" s="1"/>
        <i x="306" s="1"/>
        <i x="29" s="1"/>
        <i x="82" s="1"/>
        <i x="231" s="1"/>
        <i x="442" s="1"/>
        <i x="17" s="1"/>
        <i x="166" s="1"/>
        <i x="281" s="1"/>
        <i x="293" s="1"/>
        <i x="56" s="1"/>
        <i x="496" s="1"/>
        <i x="27" s="1"/>
        <i x="259" s="1"/>
        <i x="94" s="1"/>
        <i x="398" s="1"/>
        <i x="422" s="1"/>
        <i x="378" s="1"/>
        <i x="196" s="1"/>
        <i x="275" s="1"/>
        <i x="360" s="1"/>
        <i x="209" s="1"/>
        <i x="403" s="1"/>
        <i x="497" s="1"/>
        <i x="12" s="1"/>
        <i x="477" s="1"/>
        <i x="256" s="1"/>
        <i x="218" s="1"/>
        <i x="271" s="1"/>
        <i x="481" s="1"/>
        <i x="444" s="1"/>
        <i x="35" s="1"/>
        <i x="315" s="1"/>
        <i x="112" s="1"/>
        <i x="38" s="1"/>
        <i x="392" s="1"/>
        <i x="340" s="1"/>
        <i x="44" s="1"/>
        <i x="235" s="1"/>
        <i x="433" s="1"/>
        <i x="140" s="1"/>
        <i x="215" s="1"/>
        <i x="228" s="1"/>
        <i x="237" s="1"/>
        <i x="139" s="1"/>
        <i x="40" s="1"/>
        <i x="108" s="1"/>
        <i x="117" s="1"/>
        <i x="9" s="1"/>
        <i x="186" s="1"/>
        <i x="20" s="1"/>
        <i x="363" s="1"/>
        <i x="232" s="1"/>
        <i x="2" s="1"/>
        <i x="32" s="1"/>
        <i x="332" s="1"/>
        <i x="78" s="1"/>
        <i x="47" s="1"/>
        <i x="147" s="1"/>
        <i x="83" s="1"/>
        <i x="250" s="1"/>
        <i x="146" s="1"/>
        <i x="60" s="1"/>
        <i x="414" s="1"/>
        <i x="397" s="1"/>
        <i x="172" s="1"/>
        <i x="254" s="1"/>
        <i x="168" s="1"/>
        <i x="358" s="1"/>
        <i x="205" s="1"/>
        <i x="317" s="1"/>
        <i x="307" s="1"/>
        <i x="277" s="1"/>
        <i x="176" s="1"/>
        <i x="16" s="1"/>
        <i x="412" s="1"/>
        <i x="43" s="1"/>
        <i x="354" s="1"/>
        <i x="265" s="1"/>
        <i x="119" s="1"/>
        <i x="10" s="1"/>
        <i x="460" s="1"/>
        <i x="116" s="1"/>
        <i x="283" s="1"/>
        <i x="217" s="1"/>
        <i x="37" s="1"/>
        <i x="451" s="1"/>
        <i x="495" s="1"/>
        <i x="405" s="1"/>
        <i x="181" s="1"/>
        <i x="490" s="1"/>
        <i x="66" s="1"/>
        <i x="279" s="1"/>
        <i x="325" s="1"/>
        <i x="420" s="1"/>
        <i x="58" s="1"/>
        <i x="291" s="1"/>
        <i x="31" s="1"/>
        <i x="64" s="1"/>
        <i x="227" s="1"/>
        <i x="247" s="1"/>
        <i x="381" s="1"/>
        <i x="263" s="1"/>
        <i x="65" s="1"/>
        <i x="356" s="1"/>
        <i x="266" s="1"/>
        <i x="19" s="1"/>
        <i x="452" s="1"/>
        <i x="15" s="1"/>
        <i x="445" s="1"/>
        <i x="466" s="1"/>
        <i x="309" s="1"/>
        <i x="87" s="1"/>
        <i x="48" s="1"/>
        <i x="359" s="1"/>
        <i x="25" s="1"/>
        <i x="286" s="1"/>
        <i x="435" s="1"/>
        <i x="413" s="1"/>
        <i x="458" s="1"/>
        <i x="121" s="1"/>
        <i x="53" s="1"/>
        <i x="137" s="1"/>
        <i x="224" s="1"/>
        <i x="396" s="1"/>
        <i x="269" s="1"/>
        <i x="203" s="1"/>
        <i x="141" s="1"/>
        <i x="220" s="1"/>
        <i x="113" s="1"/>
        <i x="24" s="1"/>
        <i x="427" s="1"/>
        <i x="328" s="1"/>
        <i x="273" s="1"/>
        <i x="450" s="1"/>
        <i x="465" s="1"/>
        <i x="144" s="1"/>
        <i x="81" s="1"/>
        <i x="79" s="1"/>
        <i x="426" s="1"/>
        <i x="204" s="1"/>
        <i x="115" s="1"/>
        <i x="128" s="1"/>
        <i x="161" s="1"/>
        <i x="162" s="1"/>
        <i x="282" s="1"/>
        <i x="401" s="1"/>
        <i x="99" s="1"/>
        <i x="336" s="1"/>
        <i x="239" s="1"/>
        <i x="160" s="1"/>
        <i x="337" s="1"/>
        <i x="118" s="1"/>
        <i x="407" s="1"/>
        <i x="395" s="1"/>
        <i x="6" s="1"/>
        <i x="214" s="1"/>
        <i x="109" s="1"/>
        <i x="386" s="1"/>
        <i x="255" s="1"/>
        <i x="432" s="1"/>
        <i x="241" s="1"/>
        <i x="364" s="1"/>
        <i x="135" s="1"/>
        <i x="13" s="1"/>
        <i x="150" s="1"/>
        <i x="408" s="1"/>
        <i x="102" s="1"/>
        <i x="449" s="1"/>
        <i x="351" s="1"/>
        <i x="321" s="1"/>
        <i x="244" s="1"/>
        <i x="376" s="1"/>
        <i x="454" s="1"/>
        <i x="70" s="1"/>
        <i x="429" s="1"/>
        <i x="248" s="1"/>
        <i x="190" s="1"/>
        <i x="211" s="1"/>
        <i x="385" s="1"/>
        <i x="223" s="1"/>
        <i x="202" s="1"/>
        <i x="3" s="1"/>
        <i x="348" s="1"/>
        <i x="55" s="1"/>
        <i x="198" s="1"/>
        <i x="387" s="1"/>
        <i x="124" s="1"/>
        <i x="159" s="1"/>
        <i x="370" s="1"/>
        <i x="138" s="1"/>
        <i x="226" s="1"/>
        <i x="347" s="1"/>
        <i x="103" s="1"/>
        <i x="59" s="1"/>
        <i x="21" s="1"/>
        <i x="219" s="1"/>
        <i x="252" s="1"/>
        <i x="39" s="1"/>
        <i x="320" s="1"/>
        <i x="1" s="1"/>
        <i x="100" s="1"/>
        <i x="455" s="1"/>
        <i x="300" s="1"/>
        <i x="264" s="1"/>
        <i x="297" s="1"/>
        <i x="95" s="1"/>
        <i x="319" s="1"/>
        <i x="77" s="1"/>
        <i x="188" s="1"/>
        <i x="361" s="1"/>
        <i x="142" s="1"/>
        <i x="296" s="1"/>
        <i x="173" s="1"/>
        <i x="105" s="1"/>
        <i x="68" s="1"/>
        <i x="221" s="1"/>
        <i x="169" s="1"/>
        <i x="163" s="1"/>
        <i x="459" s="1"/>
        <i x="468" s="1"/>
        <i x="330" s="1"/>
        <i x="80" s="1"/>
        <i x="285" s="1"/>
        <i x="344" s="1"/>
        <i x="402" s="1"/>
        <i x="488" s="1"/>
        <i x="439" s="1"/>
        <i x="326" s="1"/>
        <i x="357" s="1"/>
        <i x="369" s="1"/>
        <i x="346" s="1"/>
        <i x="26" s="1"/>
        <i x="334" s="1"/>
        <i x="213" s="1"/>
        <i x="441" s="1"/>
        <i x="129" s="1"/>
        <i x="406" s="1"/>
        <i x="410" s="1"/>
        <i x="8" s="1"/>
        <i x="96" s="1"/>
        <i x="149" s="1"/>
        <i x="404" s="1"/>
        <i x="69" s="1"/>
        <i x="345" s="1"/>
        <i x="229" s="1"/>
        <i x="461" s="1"/>
        <i x="216" s="1"/>
        <i x="288" s="1"/>
        <i x="93" s="1"/>
        <i x="157" s="1"/>
        <i x="134" s="1"/>
        <i x="480" s="1"/>
        <i x="249" s="1"/>
        <i x="148" s="1"/>
        <i x="310" s="1"/>
        <i x="179" s="1"/>
        <i x="201" s="1"/>
        <i x="194" s="1"/>
        <i x="62" s="1"/>
        <i x="486" s="1"/>
        <i x="14" s="1"/>
        <i x="30" s="1"/>
        <i x="145" s="1"/>
        <i x="456" s="1"/>
        <i x="301" s="1"/>
        <i x="72" s="1"/>
        <i x="423" s="1"/>
        <i x="374" s="1"/>
        <i x="492" s="1"/>
        <i x="225" s="1"/>
        <i x="42" s="1"/>
        <i x="375" s="1"/>
        <i x="484" s="1"/>
        <i x="67" s="1"/>
        <i x="368" s="1"/>
        <i x="75" s="1"/>
        <i x="101" s="1"/>
        <i x="316" s="1"/>
        <i x="349" s="1"/>
        <i x="331" s="1"/>
        <i x="111" s="1"/>
        <i x="207" s="1"/>
        <i x="33" s="1"/>
        <i x="151" s="1"/>
        <i x="485" s="1"/>
        <i x="76" s="1"/>
        <i x="51" s="1"/>
        <i x="106" s="1"/>
        <i x="365" s="1"/>
        <i x="208" s="1"/>
        <i x="49" s="1"/>
        <i x="133" s="1"/>
        <i x="171" s="1"/>
        <i x="473" s="1"/>
        <i x="11" s="1"/>
        <i x="295" s="1"/>
        <i x="234" s="1"/>
        <i x="170" s="1"/>
        <i x="487" s="1"/>
        <i x="425" s="1"/>
        <i x="372" s="1"/>
        <i x="189" s="1"/>
        <i x="474" s="1"/>
        <i x="18" s="1"/>
        <i x="304" s="1"/>
        <i x="245" s="1"/>
        <i x="371" s="1"/>
        <i x="97" s="1"/>
        <i x="246" s="1"/>
        <i x="335" s="1"/>
        <i x="132" s="1"/>
        <i x="278" s="1"/>
        <i x="192" s="1"/>
        <i x="373" s="1"/>
        <i x="284" s="1"/>
        <i x="0" s="1"/>
        <i x="177" s="1"/>
        <i x="54" s="1"/>
        <i x="270" s="1"/>
        <i x="89" s="1"/>
        <i x="267" s="1"/>
        <i x="251" s="1"/>
        <i x="382" s="1"/>
        <i x="182" s="1"/>
        <i x="394" s="1"/>
        <i x="276" s="1"/>
        <i x="165" s="1"/>
        <i x="483" s="1"/>
        <i x="127" s="1"/>
        <i x="379" s="1"/>
        <i x="352" s="1"/>
        <i x="7" s="1"/>
        <i x="491" s="1"/>
        <i x="287" s="1"/>
        <i x="73" s="1"/>
        <i x="298" s="1"/>
        <i x="475" s="1"/>
        <i x="107" s="1"/>
        <i x="313" s="1"/>
        <i x="158" s="1"/>
        <i x="305" s="1"/>
        <i x="355" s="1"/>
        <i x="329" s="1"/>
        <i x="476" s="1"/>
        <i x="22" s="1"/>
        <i x="302" s="1"/>
        <i x="125" s="1"/>
        <i x="184" s="1"/>
        <i x="49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D228C95-CE0F-4E40-900E-5F3E3060852C}" cache="Slicer_Product" caption="Product" rowHeight="234950"/>
  <slicer name="Price" xr10:uid="{6BE9DAD7-22E0-42F2-A312-7C5F8903AFFF}" cache="Slicer_Price" caption="Price" rowHeight="234950"/>
  <slicer name="Category" xr10:uid="{0D8A52BB-E7A1-4084-8108-9A577F24D2D9}" cache="Slicer_Category" caption="Category" rowHeight="234950"/>
  <slicer name="Category 1" xr10:uid="{27823CFD-8F45-41D8-9345-CE45D88504D8}" cache="Slicer_Category1" caption="Category" rowHeight="234950"/>
  <slicer name="Price 1" xr10:uid="{7B733C9A-87B4-4589-B5C2-98009BB70C3C}" cache="Slicer_Price1" caption="Pri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499984740745262"/>
  </sheetPr>
  <dimension ref="A1:I501"/>
  <sheetViews>
    <sheetView workbookViewId="0">
      <selection activeCell="M24" sqref="M24:O41"/>
    </sheetView>
  </sheetViews>
  <sheetFormatPr defaultRowHeight="14.4" x14ac:dyDescent="0.3"/>
  <cols>
    <col min="1" max="1" width="11.77734375" customWidth="1"/>
    <col min="2" max="2" width="9.5546875" customWidth="1"/>
    <col min="3" max="3" width="12.109375" style="3" bestFit="1" customWidth="1"/>
    <col min="5" max="5" width="10.44140625" bestFit="1" customWidth="1"/>
    <col min="6" max="6" width="9.77734375" customWidth="1"/>
    <col min="9" max="9" width="11.21875" bestFit="1" customWidth="1"/>
  </cols>
  <sheetData>
    <row r="1" spans="1:9" x14ac:dyDescent="0.3">
      <c r="A1" s="6" t="s">
        <v>0</v>
      </c>
      <c r="B1" s="6" t="s">
        <v>1</v>
      </c>
      <c r="C1" s="7" t="s">
        <v>2</v>
      </c>
      <c r="D1" s="6" t="s">
        <v>3</v>
      </c>
      <c r="E1" s="6" t="s">
        <v>4</v>
      </c>
      <c r="F1" s="8" t="s">
        <v>5</v>
      </c>
      <c r="H1" t="s">
        <v>35</v>
      </c>
      <c r="I1">
        <v>1001</v>
      </c>
    </row>
    <row r="2" spans="1:9" x14ac:dyDescent="0.3">
      <c r="A2" s="9">
        <v>1001</v>
      </c>
      <c r="B2" s="9" t="s">
        <v>6</v>
      </c>
      <c r="C2" s="10">
        <v>185970</v>
      </c>
      <c r="D2" s="9">
        <v>23</v>
      </c>
      <c r="E2" s="9" t="s">
        <v>7</v>
      </c>
      <c r="F2" s="11" t="s">
        <v>8</v>
      </c>
      <c r="H2" t="s">
        <v>1</v>
      </c>
      <c r="I2" t="str">
        <f>INDEX($A$1:$F$501,MATCH($I$1,$A$1:$A$501,0),MATCH(H2,$A$1:$F$1,0))</f>
        <v>SSD</v>
      </c>
    </row>
    <row r="3" spans="1:9" x14ac:dyDescent="0.3">
      <c r="A3" s="5">
        <v>1002</v>
      </c>
      <c r="B3" s="5" t="s">
        <v>9</v>
      </c>
      <c r="C3" s="12">
        <v>140284</v>
      </c>
      <c r="D3" s="5">
        <v>71</v>
      </c>
      <c r="E3" s="5" t="s">
        <v>10</v>
      </c>
      <c r="F3" s="4" t="s">
        <v>11</v>
      </c>
      <c r="H3" t="s">
        <v>2</v>
      </c>
      <c r="I3">
        <f t="shared" ref="I3:I6" si="0">INDEX($A$1:$F$501,MATCH($I$1,$A$1:$A$501,0),MATCH(H3,$A$1:$F$1,0))</f>
        <v>185970</v>
      </c>
    </row>
    <row r="4" spans="1:9" x14ac:dyDescent="0.3">
      <c r="A4" s="9">
        <v>1003</v>
      </c>
      <c r="B4" s="9" t="s">
        <v>12</v>
      </c>
      <c r="C4" s="10">
        <v>88253</v>
      </c>
      <c r="D4" s="9">
        <v>10</v>
      </c>
      <c r="E4" s="9" t="s">
        <v>13</v>
      </c>
      <c r="F4" s="11" t="s">
        <v>14</v>
      </c>
      <c r="H4" t="s">
        <v>3</v>
      </c>
      <c r="I4">
        <f t="shared" si="0"/>
        <v>23</v>
      </c>
    </row>
    <row r="5" spans="1:9" x14ac:dyDescent="0.3">
      <c r="A5" s="5">
        <v>1004</v>
      </c>
      <c r="B5" s="5" t="s">
        <v>15</v>
      </c>
      <c r="C5" s="12">
        <v>134248</v>
      </c>
      <c r="D5" s="5">
        <v>47</v>
      </c>
      <c r="E5" s="5" t="s">
        <v>16</v>
      </c>
      <c r="F5" s="4" t="s">
        <v>17</v>
      </c>
      <c r="H5" t="s">
        <v>4</v>
      </c>
      <c r="I5" t="str">
        <f t="shared" si="0"/>
        <v>Computers</v>
      </c>
    </row>
    <row r="6" spans="1:9" x14ac:dyDescent="0.3">
      <c r="A6" s="9">
        <v>1005</v>
      </c>
      <c r="B6" s="9" t="s">
        <v>12</v>
      </c>
      <c r="C6" s="10">
        <v>13869</v>
      </c>
      <c r="D6" s="9">
        <v>30</v>
      </c>
      <c r="E6" s="9" t="s">
        <v>13</v>
      </c>
      <c r="F6" s="11" t="s">
        <v>8</v>
      </c>
      <c r="H6" t="s">
        <v>5</v>
      </c>
      <c r="I6" t="str">
        <f t="shared" si="0"/>
        <v>Dell</v>
      </c>
    </row>
    <row r="7" spans="1:9" x14ac:dyDescent="0.3">
      <c r="A7" s="5">
        <v>1006</v>
      </c>
      <c r="B7" s="5" t="s">
        <v>18</v>
      </c>
      <c r="C7" s="12">
        <v>5167</v>
      </c>
      <c r="D7" s="5">
        <v>53</v>
      </c>
      <c r="E7" s="5" t="s">
        <v>19</v>
      </c>
      <c r="F7" s="4" t="s">
        <v>20</v>
      </c>
    </row>
    <row r="8" spans="1:9" x14ac:dyDescent="0.3">
      <c r="A8" s="9">
        <v>1007</v>
      </c>
      <c r="B8" s="9" t="s">
        <v>21</v>
      </c>
      <c r="C8" s="10">
        <v>124553</v>
      </c>
      <c r="D8" s="9">
        <v>15</v>
      </c>
      <c r="E8" s="9" t="s">
        <v>22</v>
      </c>
      <c r="F8" s="11" t="s">
        <v>23</v>
      </c>
    </row>
    <row r="9" spans="1:9" x14ac:dyDescent="0.3">
      <c r="A9" s="5">
        <v>1008</v>
      </c>
      <c r="B9" s="5" t="s">
        <v>24</v>
      </c>
      <c r="C9" s="12">
        <v>193005</v>
      </c>
      <c r="D9" s="5">
        <v>20</v>
      </c>
      <c r="E9" s="5" t="s">
        <v>16</v>
      </c>
      <c r="F9" s="4" t="s">
        <v>20</v>
      </c>
    </row>
    <row r="10" spans="1:9" x14ac:dyDescent="0.3">
      <c r="A10" s="9">
        <v>1009</v>
      </c>
      <c r="B10" s="9" t="s">
        <v>25</v>
      </c>
      <c r="C10" s="10">
        <v>155686</v>
      </c>
      <c r="D10" s="9">
        <v>43</v>
      </c>
      <c r="E10" s="9" t="s">
        <v>26</v>
      </c>
      <c r="F10" s="11" t="s">
        <v>20</v>
      </c>
    </row>
    <row r="11" spans="1:9" x14ac:dyDescent="0.3">
      <c r="A11" s="5">
        <v>1010</v>
      </c>
      <c r="B11" s="5" t="s">
        <v>9</v>
      </c>
      <c r="C11" s="12">
        <v>86085</v>
      </c>
      <c r="D11" s="5">
        <v>41</v>
      </c>
      <c r="E11" s="5" t="s">
        <v>27</v>
      </c>
      <c r="F11" s="4" t="s">
        <v>20</v>
      </c>
    </row>
    <row r="12" spans="1:9" x14ac:dyDescent="0.3">
      <c r="A12" s="9">
        <v>1011</v>
      </c>
      <c r="B12" s="9" t="s">
        <v>28</v>
      </c>
      <c r="C12" s="10">
        <v>100509</v>
      </c>
      <c r="D12" s="9">
        <v>87</v>
      </c>
      <c r="E12" s="9" t="s">
        <v>10</v>
      </c>
      <c r="F12" s="11" t="s">
        <v>29</v>
      </c>
    </row>
    <row r="13" spans="1:9" x14ac:dyDescent="0.3">
      <c r="A13" s="5">
        <v>1012</v>
      </c>
      <c r="B13" s="5" t="s">
        <v>9</v>
      </c>
      <c r="C13" s="12">
        <v>175111</v>
      </c>
      <c r="D13" s="5">
        <v>76</v>
      </c>
      <c r="E13" s="5" t="s">
        <v>7</v>
      </c>
      <c r="F13" s="4" t="s">
        <v>30</v>
      </c>
    </row>
    <row r="14" spans="1:9" x14ac:dyDescent="0.3">
      <c r="A14" s="9">
        <v>1013</v>
      </c>
      <c r="B14" s="9" t="s">
        <v>25</v>
      </c>
      <c r="C14" s="10">
        <v>76893</v>
      </c>
      <c r="D14" s="9">
        <v>69</v>
      </c>
      <c r="E14" s="9" t="s">
        <v>22</v>
      </c>
      <c r="F14" s="11" t="s">
        <v>20</v>
      </c>
    </row>
    <row r="15" spans="1:9" x14ac:dyDescent="0.3">
      <c r="A15" s="5">
        <v>1014</v>
      </c>
      <c r="B15" s="5" t="s">
        <v>6</v>
      </c>
      <c r="C15" s="12">
        <v>128507</v>
      </c>
      <c r="D15" s="5">
        <v>50</v>
      </c>
      <c r="E15" s="5" t="s">
        <v>16</v>
      </c>
      <c r="F15" s="4" t="s">
        <v>23</v>
      </c>
    </row>
    <row r="16" spans="1:9" x14ac:dyDescent="0.3">
      <c r="A16" s="9">
        <v>1015</v>
      </c>
      <c r="B16" s="9" t="s">
        <v>24</v>
      </c>
      <c r="C16" s="10">
        <v>161039</v>
      </c>
      <c r="D16" s="9">
        <v>20</v>
      </c>
      <c r="E16" s="9" t="s">
        <v>10</v>
      </c>
      <c r="F16" s="11" t="s">
        <v>20</v>
      </c>
    </row>
    <row r="17" spans="1:6" x14ac:dyDescent="0.3">
      <c r="A17" s="5">
        <v>1016</v>
      </c>
      <c r="B17" s="5" t="s">
        <v>31</v>
      </c>
      <c r="C17" s="12">
        <v>109876</v>
      </c>
      <c r="D17" s="5">
        <v>51</v>
      </c>
      <c r="E17" s="5" t="s">
        <v>13</v>
      </c>
      <c r="F17" s="4" t="s">
        <v>23</v>
      </c>
    </row>
    <row r="18" spans="1:6" x14ac:dyDescent="0.3">
      <c r="A18" s="9">
        <v>1017</v>
      </c>
      <c r="B18" s="9" t="s">
        <v>6</v>
      </c>
      <c r="C18" s="10">
        <v>98947</v>
      </c>
      <c r="D18" s="9">
        <v>94</v>
      </c>
      <c r="E18" s="9" t="s">
        <v>13</v>
      </c>
      <c r="F18" s="11" t="s">
        <v>23</v>
      </c>
    </row>
    <row r="19" spans="1:6" x14ac:dyDescent="0.3">
      <c r="A19" s="5">
        <v>1018</v>
      </c>
      <c r="B19" s="5" t="s">
        <v>21</v>
      </c>
      <c r="C19" s="12">
        <v>68756</v>
      </c>
      <c r="D19" s="5">
        <v>16</v>
      </c>
      <c r="E19" s="5" t="s">
        <v>19</v>
      </c>
      <c r="F19" s="4" t="s">
        <v>20</v>
      </c>
    </row>
    <row r="20" spans="1:6" x14ac:dyDescent="0.3">
      <c r="A20" s="9">
        <v>1019</v>
      </c>
      <c r="B20" s="9" t="s">
        <v>28</v>
      </c>
      <c r="C20" s="10">
        <v>179341</v>
      </c>
      <c r="D20" s="9">
        <v>39</v>
      </c>
      <c r="E20" s="9" t="s">
        <v>26</v>
      </c>
      <c r="F20" s="11" t="s">
        <v>30</v>
      </c>
    </row>
    <row r="21" spans="1:6" x14ac:dyDescent="0.3">
      <c r="A21" s="5">
        <v>1020</v>
      </c>
      <c r="B21" s="5" t="s">
        <v>6</v>
      </c>
      <c r="C21" s="12">
        <v>109495</v>
      </c>
      <c r="D21" s="5">
        <v>70</v>
      </c>
      <c r="E21" s="5" t="s">
        <v>7</v>
      </c>
      <c r="F21" s="4" t="s">
        <v>8</v>
      </c>
    </row>
    <row r="22" spans="1:6" x14ac:dyDescent="0.3">
      <c r="A22" s="9">
        <v>1021</v>
      </c>
      <c r="B22" s="9" t="s">
        <v>24</v>
      </c>
      <c r="C22" s="10">
        <v>86546</v>
      </c>
      <c r="D22" s="9">
        <v>42</v>
      </c>
      <c r="E22" s="9" t="s">
        <v>27</v>
      </c>
      <c r="F22" s="11" t="s">
        <v>32</v>
      </c>
    </row>
    <row r="23" spans="1:6" x14ac:dyDescent="0.3">
      <c r="A23" s="5">
        <v>1022</v>
      </c>
      <c r="B23" s="5" t="s">
        <v>31</v>
      </c>
      <c r="C23" s="12">
        <v>139032</v>
      </c>
      <c r="D23" s="5">
        <v>73</v>
      </c>
      <c r="E23" s="5" t="s">
        <v>7</v>
      </c>
      <c r="F23" s="4" t="s">
        <v>23</v>
      </c>
    </row>
    <row r="24" spans="1:6" x14ac:dyDescent="0.3">
      <c r="A24" s="9">
        <v>1023</v>
      </c>
      <c r="B24" s="9" t="s">
        <v>15</v>
      </c>
      <c r="C24" s="10">
        <v>196284</v>
      </c>
      <c r="D24" s="9">
        <v>20</v>
      </c>
      <c r="E24" s="9" t="s">
        <v>13</v>
      </c>
      <c r="F24" s="11" t="s">
        <v>33</v>
      </c>
    </row>
    <row r="25" spans="1:6" x14ac:dyDescent="0.3">
      <c r="A25" s="5">
        <v>1024</v>
      </c>
      <c r="B25" s="5" t="s">
        <v>18</v>
      </c>
      <c r="C25" s="12">
        <v>36714</v>
      </c>
      <c r="D25" s="5">
        <v>67</v>
      </c>
      <c r="E25" s="5" t="s">
        <v>19</v>
      </c>
      <c r="F25" s="4" t="s">
        <v>33</v>
      </c>
    </row>
    <row r="26" spans="1:6" x14ac:dyDescent="0.3">
      <c r="A26" s="9">
        <v>1025</v>
      </c>
      <c r="B26" s="9" t="s">
        <v>24</v>
      </c>
      <c r="C26" s="10">
        <v>116310</v>
      </c>
      <c r="D26" s="9">
        <v>66</v>
      </c>
      <c r="E26" s="9" t="s">
        <v>26</v>
      </c>
      <c r="F26" s="11" t="s">
        <v>14</v>
      </c>
    </row>
    <row r="27" spans="1:6" x14ac:dyDescent="0.3">
      <c r="A27" s="5">
        <v>1026</v>
      </c>
      <c r="B27" s="5" t="s">
        <v>12</v>
      </c>
      <c r="C27" s="12">
        <v>112997</v>
      </c>
      <c r="D27" s="5">
        <v>99</v>
      </c>
      <c r="E27" s="5" t="s">
        <v>26</v>
      </c>
      <c r="F27" s="4" t="s">
        <v>8</v>
      </c>
    </row>
    <row r="28" spans="1:6" x14ac:dyDescent="0.3">
      <c r="A28" s="9">
        <v>1027</v>
      </c>
      <c r="B28" s="9" t="s">
        <v>24</v>
      </c>
      <c r="C28" s="10">
        <v>154031</v>
      </c>
      <c r="D28" s="9">
        <v>73</v>
      </c>
      <c r="E28" s="9" t="s">
        <v>19</v>
      </c>
      <c r="F28" s="11" t="s">
        <v>30</v>
      </c>
    </row>
    <row r="29" spans="1:6" x14ac:dyDescent="0.3">
      <c r="A29" s="5">
        <v>1028</v>
      </c>
      <c r="B29" s="5" t="s">
        <v>21</v>
      </c>
      <c r="C29" s="12">
        <v>72136</v>
      </c>
      <c r="D29" s="5">
        <v>85</v>
      </c>
      <c r="E29" s="5" t="s">
        <v>16</v>
      </c>
      <c r="F29" s="4" t="s">
        <v>32</v>
      </c>
    </row>
    <row r="30" spans="1:6" x14ac:dyDescent="0.3">
      <c r="A30" s="9">
        <v>1029</v>
      </c>
      <c r="B30" s="9" t="s">
        <v>18</v>
      </c>
      <c r="C30" s="10">
        <v>48851</v>
      </c>
      <c r="D30" s="9">
        <v>76</v>
      </c>
      <c r="E30" s="9" t="s">
        <v>13</v>
      </c>
      <c r="F30" s="11" t="s">
        <v>8</v>
      </c>
    </row>
    <row r="31" spans="1:6" x14ac:dyDescent="0.3">
      <c r="A31" s="5">
        <v>1030</v>
      </c>
      <c r="B31" s="5" t="s">
        <v>28</v>
      </c>
      <c r="C31" s="12">
        <v>66662</v>
      </c>
      <c r="D31" s="5">
        <v>25</v>
      </c>
      <c r="E31" s="5" t="s">
        <v>10</v>
      </c>
      <c r="F31" s="4" t="s">
        <v>8</v>
      </c>
    </row>
    <row r="32" spans="1:6" x14ac:dyDescent="0.3">
      <c r="A32" s="9">
        <v>1031</v>
      </c>
      <c r="B32" s="9" t="s">
        <v>6</v>
      </c>
      <c r="C32" s="10">
        <v>161174</v>
      </c>
      <c r="D32" s="9">
        <v>75</v>
      </c>
      <c r="E32" s="9" t="s">
        <v>22</v>
      </c>
      <c r="F32" s="11" t="s">
        <v>11</v>
      </c>
    </row>
    <row r="33" spans="1:6" x14ac:dyDescent="0.3">
      <c r="A33" s="5">
        <v>1032</v>
      </c>
      <c r="B33" s="5" t="s">
        <v>31</v>
      </c>
      <c r="C33" s="12">
        <v>106237</v>
      </c>
      <c r="D33" s="5">
        <v>63</v>
      </c>
      <c r="E33" s="5" t="s">
        <v>10</v>
      </c>
      <c r="F33" s="4" t="s">
        <v>23</v>
      </c>
    </row>
    <row r="34" spans="1:6" x14ac:dyDescent="0.3">
      <c r="A34" s="9">
        <v>1033</v>
      </c>
      <c r="B34" s="9" t="s">
        <v>31</v>
      </c>
      <c r="C34" s="10">
        <v>88442</v>
      </c>
      <c r="D34" s="9">
        <v>36</v>
      </c>
      <c r="E34" s="9" t="s">
        <v>7</v>
      </c>
      <c r="F34" s="11" t="s">
        <v>32</v>
      </c>
    </row>
    <row r="35" spans="1:6" x14ac:dyDescent="0.3">
      <c r="A35" s="5">
        <v>1034</v>
      </c>
      <c r="B35" s="5" t="s">
        <v>28</v>
      </c>
      <c r="C35" s="12">
        <v>169472</v>
      </c>
      <c r="D35" s="5">
        <v>29</v>
      </c>
      <c r="E35" s="5" t="s">
        <v>22</v>
      </c>
      <c r="F35" s="4" t="s">
        <v>8</v>
      </c>
    </row>
    <row r="36" spans="1:6" x14ac:dyDescent="0.3">
      <c r="A36" s="9">
        <v>1035</v>
      </c>
      <c r="B36" s="9" t="s">
        <v>28</v>
      </c>
      <c r="C36" s="10">
        <v>23918</v>
      </c>
      <c r="D36" s="9">
        <v>54</v>
      </c>
      <c r="E36" s="9" t="s">
        <v>13</v>
      </c>
      <c r="F36" s="11" t="s">
        <v>23</v>
      </c>
    </row>
    <row r="37" spans="1:6" x14ac:dyDescent="0.3">
      <c r="A37" s="5">
        <v>1036</v>
      </c>
      <c r="B37" s="5" t="s">
        <v>12</v>
      </c>
      <c r="C37" s="12">
        <v>79550</v>
      </c>
      <c r="D37" s="5">
        <v>35</v>
      </c>
      <c r="E37" s="5" t="s">
        <v>16</v>
      </c>
      <c r="F37" s="4" t="s">
        <v>11</v>
      </c>
    </row>
    <row r="38" spans="1:6" x14ac:dyDescent="0.3">
      <c r="A38" s="9">
        <v>1037</v>
      </c>
      <c r="B38" s="9" t="s">
        <v>18</v>
      </c>
      <c r="C38" s="10">
        <v>7144</v>
      </c>
      <c r="D38" s="9">
        <v>56</v>
      </c>
      <c r="E38" s="9" t="s">
        <v>16</v>
      </c>
      <c r="F38" s="11" t="s">
        <v>8</v>
      </c>
    </row>
    <row r="39" spans="1:6" x14ac:dyDescent="0.3">
      <c r="A39" s="5">
        <v>1038</v>
      </c>
      <c r="B39" s="5" t="s">
        <v>9</v>
      </c>
      <c r="C39" s="12">
        <v>101508</v>
      </c>
      <c r="D39" s="5">
        <v>64</v>
      </c>
      <c r="E39" s="5" t="s">
        <v>26</v>
      </c>
      <c r="F39" s="4" t="s">
        <v>11</v>
      </c>
    </row>
    <row r="40" spans="1:6" x14ac:dyDescent="0.3">
      <c r="A40" s="9">
        <v>1039</v>
      </c>
      <c r="B40" s="9" t="s">
        <v>28</v>
      </c>
      <c r="C40" s="10">
        <v>81572</v>
      </c>
      <c r="D40" s="9">
        <v>81</v>
      </c>
      <c r="E40" s="9" t="s">
        <v>27</v>
      </c>
      <c r="F40" s="11" t="s">
        <v>17</v>
      </c>
    </row>
    <row r="41" spans="1:6" x14ac:dyDescent="0.3">
      <c r="A41" s="5">
        <v>1040</v>
      </c>
      <c r="B41" s="5" t="s">
        <v>12</v>
      </c>
      <c r="C41" s="12">
        <v>140093</v>
      </c>
      <c r="D41" s="5">
        <v>21</v>
      </c>
      <c r="E41" s="5" t="s">
        <v>19</v>
      </c>
      <c r="F41" s="4" t="s">
        <v>17</v>
      </c>
    </row>
    <row r="42" spans="1:6" x14ac:dyDescent="0.3">
      <c r="A42" s="9">
        <v>1041</v>
      </c>
      <c r="B42" s="9" t="s">
        <v>9</v>
      </c>
      <c r="C42" s="10">
        <v>85386</v>
      </c>
      <c r="D42" s="9">
        <v>19</v>
      </c>
      <c r="E42" s="9" t="s">
        <v>16</v>
      </c>
      <c r="F42" s="11" t="s">
        <v>33</v>
      </c>
    </row>
    <row r="43" spans="1:6" x14ac:dyDescent="0.3">
      <c r="A43" s="5">
        <v>1042</v>
      </c>
      <c r="B43" s="5" t="s">
        <v>21</v>
      </c>
      <c r="C43" s="12">
        <v>64926</v>
      </c>
      <c r="D43" s="5">
        <v>100</v>
      </c>
      <c r="E43" s="5" t="s">
        <v>27</v>
      </c>
      <c r="F43" s="4" t="s">
        <v>8</v>
      </c>
    </row>
    <row r="44" spans="1:6" x14ac:dyDescent="0.3">
      <c r="A44" s="9">
        <v>1043</v>
      </c>
      <c r="B44" s="9" t="s">
        <v>12</v>
      </c>
      <c r="C44" s="10">
        <v>162826</v>
      </c>
      <c r="D44" s="9">
        <v>79</v>
      </c>
      <c r="E44" s="9" t="s">
        <v>27</v>
      </c>
      <c r="F44" s="11" t="s">
        <v>30</v>
      </c>
    </row>
    <row r="45" spans="1:6" x14ac:dyDescent="0.3">
      <c r="A45" s="5">
        <v>1044</v>
      </c>
      <c r="B45" s="5" t="s">
        <v>12</v>
      </c>
      <c r="C45" s="12">
        <v>99643</v>
      </c>
      <c r="D45" s="5">
        <v>33</v>
      </c>
      <c r="E45" s="5" t="s">
        <v>10</v>
      </c>
      <c r="F45" s="4" t="s">
        <v>11</v>
      </c>
    </row>
    <row r="46" spans="1:6" x14ac:dyDescent="0.3">
      <c r="A46" s="9">
        <v>1045</v>
      </c>
      <c r="B46" s="9" t="s">
        <v>12</v>
      </c>
      <c r="C46" s="10">
        <v>82061</v>
      </c>
      <c r="D46" s="9">
        <v>20</v>
      </c>
      <c r="E46" s="9" t="s">
        <v>13</v>
      </c>
      <c r="F46" s="11" t="s">
        <v>29</v>
      </c>
    </row>
    <row r="47" spans="1:6" x14ac:dyDescent="0.3">
      <c r="A47" s="5">
        <v>1046</v>
      </c>
      <c r="B47" s="5" t="s">
        <v>24</v>
      </c>
      <c r="C47" s="12">
        <v>18963</v>
      </c>
      <c r="D47" s="5">
        <v>61</v>
      </c>
      <c r="E47" s="5" t="s">
        <v>27</v>
      </c>
      <c r="F47" s="4" t="s">
        <v>29</v>
      </c>
    </row>
    <row r="48" spans="1:6" x14ac:dyDescent="0.3">
      <c r="A48" s="9">
        <v>1047</v>
      </c>
      <c r="B48" s="9" t="s">
        <v>25</v>
      </c>
      <c r="C48" s="10">
        <v>8615</v>
      </c>
      <c r="D48" s="9">
        <v>64</v>
      </c>
      <c r="E48" s="9" t="s">
        <v>22</v>
      </c>
      <c r="F48" s="11" t="s">
        <v>23</v>
      </c>
    </row>
    <row r="49" spans="1:6" x14ac:dyDescent="0.3">
      <c r="A49" s="5">
        <v>1048</v>
      </c>
      <c r="B49" s="5" t="s">
        <v>18</v>
      </c>
      <c r="C49" s="12">
        <v>91193</v>
      </c>
      <c r="D49" s="5">
        <v>72</v>
      </c>
      <c r="E49" s="5" t="s">
        <v>13</v>
      </c>
      <c r="F49" s="4" t="s">
        <v>8</v>
      </c>
    </row>
    <row r="50" spans="1:6" x14ac:dyDescent="0.3">
      <c r="A50" s="9">
        <v>1049</v>
      </c>
      <c r="B50" s="9" t="s">
        <v>21</v>
      </c>
      <c r="C50" s="10">
        <v>112902</v>
      </c>
      <c r="D50" s="9">
        <v>13</v>
      </c>
      <c r="E50" s="9" t="s">
        <v>16</v>
      </c>
      <c r="F50" s="11" t="s">
        <v>32</v>
      </c>
    </row>
    <row r="51" spans="1:6" x14ac:dyDescent="0.3">
      <c r="A51" s="5">
        <v>1050</v>
      </c>
      <c r="B51" s="5" t="s">
        <v>15</v>
      </c>
      <c r="C51" s="12">
        <v>174100</v>
      </c>
      <c r="D51" s="5">
        <v>20</v>
      </c>
      <c r="E51" s="5" t="s">
        <v>13</v>
      </c>
      <c r="F51" s="4" t="s">
        <v>14</v>
      </c>
    </row>
    <row r="52" spans="1:6" x14ac:dyDescent="0.3">
      <c r="A52" s="9">
        <v>1051</v>
      </c>
      <c r="B52" s="9" t="s">
        <v>12</v>
      </c>
      <c r="C52" s="10">
        <v>32062</v>
      </c>
      <c r="D52" s="9">
        <v>76</v>
      </c>
      <c r="E52" s="9" t="s">
        <v>10</v>
      </c>
      <c r="F52" s="11" t="s">
        <v>33</v>
      </c>
    </row>
    <row r="53" spans="1:6" x14ac:dyDescent="0.3">
      <c r="A53" s="5">
        <v>1052</v>
      </c>
      <c r="B53" s="5" t="s">
        <v>18</v>
      </c>
      <c r="C53" s="12">
        <v>172607</v>
      </c>
      <c r="D53" s="5">
        <v>24</v>
      </c>
      <c r="E53" s="5" t="s">
        <v>34</v>
      </c>
      <c r="F53" s="4" t="s">
        <v>8</v>
      </c>
    </row>
    <row r="54" spans="1:6" x14ac:dyDescent="0.3">
      <c r="A54" s="9">
        <v>1053</v>
      </c>
      <c r="B54" s="9" t="s">
        <v>24</v>
      </c>
      <c r="C54" s="10">
        <v>30963</v>
      </c>
      <c r="D54" s="9">
        <v>27</v>
      </c>
      <c r="E54" s="9" t="s">
        <v>13</v>
      </c>
      <c r="F54" s="11" t="s">
        <v>29</v>
      </c>
    </row>
    <row r="55" spans="1:6" x14ac:dyDescent="0.3">
      <c r="A55" s="5">
        <v>1054</v>
      </c>
      <c r="B55" s="5" t="s">
        <v>6</v>
      </c>
      <c r="C55" s="12">
        <v>113682</v>
      </c>
      <c r="D55" s="5">
        <v>75</v>
      </c>
      <c r="E55" s="5" t="s">
        <v>34</v>
      </c>
      <c r="F55" s="4" t="s">
        <v>8</v>
      </c>
    </row>
    <row r="56" spans="1:6" x14ac:dyDescent="0.3">
      <c r="A56" s="9">
        <v>1055</v>
      </c>
      <c r="B56" s="9" t="s">
        <v>15</v>
      </c>
      <c r="C56" s="10">
        <v>186982</v>
      </c>
      <c r="D56" s="9">
        <v>12</v>
      </c>
      <c r="E56" s="9" t="s">
        <v>27</v>
      </c>
      <c r="F56" s="11" t="s">
        <v>29</v>
      </c>
    </row>
    <row r="57" spans="1:6" x14ac:dyDescent="0.3">
      <c r="A57" s="5">
        <v>1056</v>
      </c>
      <c r="B57" s="5" t="s">
        <v>21</v>
      </c>
      <c r="C57" s="12">
        <v>135498</v>
      </c>
      <c r="D57" s="5">
        <v>14</v>
      </c>
      <c r="E57" s="5" t="s">
        <v>19</v>
      </c>
      <c r="F57" s="4" t="s">
        <v>20</v>
      </c>
    </row>
    <row r="58" spans="1:6" x14ac:dyDescent="0.3">
      <c r="A58" s="9">
        <v>1057</v>
      </c>
      <c r="B58" s="9" t="s">
        <v>15</v>
      </c>
      <c r="C58" s="10">
        <v>71705</v>
      </c>
      <c r="D58" s="9">
        <v>62</v>
      </c>
      <c r="E58" s="9" t="s">
        <v>10</v>
      </c>
      <c r="F58" s="11" t="s">
        <v>23</v>
      </c>
    </row>
    <row r="59" spans="1:6" x14ac:dyDescent="0.3">
      <c r="A59" s="5">
        <v>1058</v>
      </c>
      <c r="B59" s="5" t="s">
        <v>24</v>
      </c>
      <c r="C59" s="12">
        <v>31518</v>
      </c>
      <c r="D59" s="5">
        <v>66</v>
      </c>
      <c r="E59" s="5" t="s">
        <v>7</v>
      </c>
      <c r="F59" s="4" t="s">
        <v>8</v>
      </c>
    </row>
    <row r="60" spans="1:6" x14ac:dyDescent="0.3">
      <c r="A60" s="9">
        <v>1059</v>
      </c>
      <c r="B60" s="9" t="s">
        <v>9</v>
      </c>
      <c r="C60" s="10">
        <v>106163</v>
      </c>
      <c r="D60" s="9">
        <v>86</v>
      </c>
      <c r="E60" s="9" t="s">
        <v>22</v>
      </c>
      <c r="F60" s="11" t="s">
        <v>14</v>
      </c>
    </row>
    <row r="61" spans="1:6" x14ac:dyDescent="0.3">
      <c r="A61" s="5">
        <v>1060</v>
      </c>
      <c r="B61" s="5" t="s">
        <v>24</v>
      </c>
      <c r="C61" s="12">
        <v>139008</v>
      </c>
      <c r="D61" s="5">
        <v>46</v>
      </c>
      <c r="E61" s="5" t="s">
        <v>22</v>
      </c>
      <c r="F61" s="4" t="s">
        <v>14</v>
      </c>
    </row>
    <row r="62" spans="1:6" x14ac:dyDescent="0.3">
      <c r="A62" s="9">
        <v>1061</v>
      </c>
      <c r="B62" s="9" t="s">
        <v>25</v>
      </c>
      <c r="C62" s="10">
        <v>93436</v>
      </c>
      <c r="D62" s="9">
        <v>42</v>
      </c>
      <c r="E62" s="9" t="s">
        <v>26</v>
      </c>
      <c r="F62" s="11" t="s">
        <v>23</v>
      </c>
    </row>
    <row r="63" spans="1:6" x14ac:dyDescent="0.3">
      <c r="A63" s="5">
        <v>1062</v>
      </c>
      <c r="B63" s="5" t="s">
        <v>6</v>
      </c>
      <c r="C63" s="12">
        <v>52284</v>
      </c>
      <c r="D63" s="5">
        <v>69</v>
      </c>
      <c r="E63" s="5" t="s">
        <v>34</v>
      </c>
      <c r="F63" s="4" t="s">
        <v>14</v>
      </c>
    </row>
    <row r="64" spans="1:6" x14ac:dyDescent="0.3">
      <c r="A64" s="9">
        <v>1063</v>
      </c>
      <c r="B64" s="9" t="s">
        <v>18</v>
      </c>
      <c r="C64" s="10">
        <v>160591</v>
      </c>
      <c r="D64" s="9">
        <v>80</v>
      </c>
      <c r="E64" s="9" t="s">
        <v>26</v>
      </c>
      <c r="F64" s="11" t="s">
        <v>32</v>
      </c>
    </row>
    <row r="65" spans="1:6" x14ac:dyDescent="0.3">
      <c r="A65" s="5">
        <v>1064</v>
      </c>
      <c r="B65" s="5" t="s">
        <v>31</v>
      </c>
      <c r="C65" s="12">
        <v>3674</v>
      </c>
      <c r="D65" s="5">
        <v>41</v>
      </c>
      <c r="E65" s="5" t="s">
        <v>22</v>
      </c>
      <c r="F65" s="4" t="s">
        <v>23</v>
      </c>
    </row>
    <row r="66" spans="1:6" x14ac:dyDescent="0.3">
      <c r="A66" s="9">
        <v>1065</v>
      </c>
      <c r="B66" s="9" t="s">
        <v>6</v>
      </c>
      <c r="C66" s="10">
        <v>106522</v>
      </c>
      <c r="D66" s="9">
        <v>43</v>
      </c>
      <c r="E66" s="9" t="s">
        <v>22</v>
      </c>
      <c r="F66" s="11" t="s">
        <v>32</v>
      </c>
    </row>
    <row r="67" spans="1:6" x14ac:dyDescent="0.3">
      <c r="A67" s="5">
        <v>1066</v>
      </c>
      <c r="B67" s="5" t="s">
        <v>9</v>
      </c>
      <c r="C67" s="12">
        <v>108792</v>
      </c>
      <c r="D67" s="5">
        <v>39</v>
      </c>
      <c r="E67" s="5" t="s">
        <v>10</v>
      </c>
      <c r="F67" s="4" t="s">
        <v>14</v>
      </c>
    </row>
    <row r="68" spans="1:6" x14ac:dyDescent="0.3">
      <c r="A68" s="9">
        <v>1067</v>
      </c>
      <c r="B68" s="9" t="s">
        <v>24</v>
      </c>
      <c r="C68" s="10">
        <v>104006</v>
      </c>
      <c r="D68" s="9">
        <v>18</v>
      </c>
      <c r="E68" s="9" t="s">
        <v>10</v>
      </c>
      <c r="F68" s="11" t="s">
        <v>30</v>
      </c>
    </row>
    <row r="69" spans="1:6" x14ac:dyDescent="0.3">
      <c r="A69" s="5">
        <v>1068</v>
      </c>
      <c r="B69" s="5" t="s">
        <v>6</v>
      </c>
      <c r="C69" s="12">
        <v>164061</v>
      </c>
      <c r="D69" s="5">
        <v>70</v>
      </c>
      <c r="E69" s="5" t="s">
        <v>27</v>
      </c>
      <c r="F69" s="4" t="s">
        <v>29</v>
      </c>
    </row>
    <row r="70" spans="1:6" x14ac:dyDescent="0.3">
      <c r="A70" s="9">
        <v>1069</v>
      </c>
      <c r="B70" s="9" t="s">
        <v>21</v>
      </c>
      <c r="C70" s="10">
        <v>147376</v>
      </c>
      <c r="D70" s="9">
        <v>9</v>
      </c>
      <c r="E70" s="9" t="s">
        <v>27</v>
      </c>
      <c r="F70" s="11" t="s">
        <v>17</v>
      </c>
    </row>
    <row r="71" spans="1:6" x14ac:dyDescent="0.3">
      <c r="A71" s="5">
        <v>1070</v>
      </c>
      <c r="B71" s="5" t="s">
        <v>31</v>
      </c>
      <c r="C71" s="12">
        <v>156820</v>
      </c>
      <c r="D71" s="5">
        <v>77</v>
      </c>
      <c r="E71" s="5" t="s">
        <v>26</v>
      </c>
      <c r="F71" s="4" t="s">
        <v>11</v>
      </c>
    </row>
    <row r="72" spans="1:6" x14ac:dyDescent="0.3">
      <c r="A72" s="9">
        <v>1071</v>
      </c>
      <c r="B72" s="9" t="s">
        <v>25</v>
      </c>
      <c r="C72" s="10">
        <v>132165</v>
      </c>
      <c r="D72" s="9">
        <v>6</v>
      </c>
      <c r="E72" s="9" t="s">
        <v>13</v>
      </c>
      <c r="F72" s="11" t="s">
        <v>23</v>
      </c>
    </row>
    <row r="73" spans="1:6" x14ac:dyDescent="0.3">
      <c r="A73" s="5">
        <v>1072</v>
      </c>
      <c r="B73" s="5" t="s">
        <v>25</v>
      </c>
      <c r="C73" s="12">
        <v>34159</v>
      </c>
      <c r="D73" s="5">
        <v>19</v>
      </c>
      <c r="E73" s="5" t="s">
        <v>34</v>
      </c>
      <c r="F73" s="4" t="s">
        <v>32</v>
      </c>
    </row>
    <row r="74" spans="1:6" x14ac:dyDescent="0.3">
      <c r="A74" s="9">
        <v>1073</v>
      </c>
      <c r="B74" s="9" t="s">
        <v>6</v>
      </c>
      <c r="C74" s="10">
        <v>162447</v>
      </c>
      <c r="D74" s="9">
        <v>88</v>
      </c>
      <c r="E74" s="9" t="s">
        <v>7</v>
      </c>
      <c r="F74" s="11" t="s">
        <v>8</v>
      </c>
    </row>
    <row r="75" spans="1:6" x14ac:dyDescent="0.3">
      <c r="A75" s="5">
        <v>1074</v>
      </c>
      <c r="B75" s="5" t="s">
        <v>25</v>
      </c>
      <c r="C75" s="12">
        <v>193393</v>
      </c>
      <c r="D75" s="5">
        <v>35</v>
      </c>
      <c r="E75" s="5" t="s">
        <v>10</v>
      </c>
      <c r="F75" s="4" t="s">
        <v>29</v>
      </c>
    </row>
    <row r="76" spans="1:6" x14ac:dyDescent="0.3">
      <c r="A76" s="9">
        <v>1075</v>
      </c>
      <c r="B76" s="9" t="s">
        <v>15</v>
      </c>
      <c r="C76" s="10">
        <v>59401</v>
      </c>
      <c r="D76" s="9">
        <v>69</v>
      </c>
      <c r="E76" s="9" t="s">
        <v>13</v>
      </c>
      <c r="F76" s="11" t="s">
        <v>29</v>
      </c>
    </row>
    <row r="77" spans="1:6" x14ac:dyDescent="0.3">
      <c r="A77" s="5">
        <v>1076</v>
      </c>
      <c r="B77" s="5" t="s">
        <v>31</v>
      </c>
      <c r="C77" s="12">
        <v>164414</v>
      </c>
      <c r="D77" s="5">
        <v>89</v>
      </c>
      <c r="E77" s="5" t="s">
        <v>26</v>
      </c>
      <c r="F77" s="4" t="s">
        <v>8</v>
      </c>
    </row>
    <row r="78" spans="1:6" x14ac:dyDescent="0.3">
      <c r="A78" s="9">
        <v>1077</v>
      </c>
      <c r="B78" s="9" t="s">
        <v>24</v>
      </c>
      <c r="C78" s="10">
        <v>172049</v>
      </c>
      <c r="D78" s="9">
        <v>69</v>
      </c>
      <c r="E78" s="9" t="s">
        <v>27</v>
      </c>
      <c r="F78" s="11" t="s">
        <v>20</v>
      </c>
    </row>
    <row r="79" spans="1:6" x14ac:dyDescent="0.3">
      <c r="A79" s="5">
        <v>1078</v>
      </c>
      <c r="B79" s="5" t="s">
        <v>31</v>
      </c>
      <c r="C79" s="12">
        <v>145370</v>
      </c>
      <c r="D79" s="5">
        <v>23</v>
      </c>
      <c r="E79" s="5" t="s">
        <v>19</v>
      </c>
      <c r="F79" s="4" t="s">
        <v>17</v>
      </c>
    </row>
    <row r="80" spans="1:6" x14ac:dyDescent="0.3">
      <c r="A80" s="9">
        <v>1079</v>
      </c>
      <c r="B80" s="9" t="s">
        <v>12</v>
      </c>
      <c r="C80" s="10">
        <v>90149</v>
      </c>
      <c r="D80" s="9">
        <v>85</v>
      </c>
      <c r="E80" s="9" t="s">
        <v>34</v>
      </c>
      <c r="F80" s="11" t="s">
        <v>29</v>
      </c>
    </row>
    <row r="81" spans="1:6" x14ac:dyDescent="0.3">
      <c r="A81" s="5">
        <v>1080</v>
      </c>
      <c r="B81" s="5" t="s">
        <v>15</v>
      </c>
      <c r="C81" s="12">
        <v>119036</v>
      </c>
      <c r="D81" s="5">
        <v>90</v>
      </c>
      <c r="E81" s="5" t="s">
        <v>34</v>
      </c>
      <c r="F81" s="4" t="s">
        <v>14</v>
      </c>
    </row>
    <row r="82" spans="1:6" x14ac:dyDescent="0.3">
      <c r="A82" s="9">
        <v>1081</v>
      </c>
      <c r="B82" s="9" t="s">
        <v>24</v>
      </c>
      <c r="C82" s="10">
        <v>149284</v>
      </c>
      <c r="D82" s="9">
        <v>88</v>
      </c>
      <c r="E82" s="9" t="s">
        <v>27</v>
      </c>
      <c r="F82" s="11" t="s">
        <v>32</v>
      </c>
    </row>
    <row r="83" spans="1:6" x14ac:dyDescent="0.3">
      <c r="A83" s="5">
        <v>1082</v>
      </c>
      <c r="B83" s="5" t="s">
        <v>18</v>
      </c>
      <c r="C83" s="12">
        <v>118835</v>
      </c>
      <c r="D83" s="5">
        <v>50</v>
      </c>
      <c r="E83" s="5" t="s">
        <v>13</v>
      </c>
      <c r="F83" s="4" t="s">
        <v>29</v>
      </c>
    </row>
    <row r="84" spans="1:6" x14ac:dyDescent="0.3">
      <c r="A84" s="9">
        <v>1083</v>
      </c>
      <c r="B84" s="9" t="s">
        <v>24</v>
      </c>
      <c r="C84" s="10">
        <v>67261</v>
      </c>
      <c r="D84" s="9">
        <v>58</v>
      </c>
      <c r="E84" s="9" t="s">
        <v>13</v>
      </c>
      <c r="F84" s="11" t="s">
        <v>11</v>
      </c>
    </row>
    <row r="85" spans="1:6" x14ac:dyDescent="0.3">
      <c r="A85" s="5">
        <v>1084</v>
      </c>
      <c r="B85" s="5" t="s">
        <v>15</v>
      </c>
      <c r="C85" s="12">
        <v>92067</v>
      </c>
      <c r="D85" s="5">
        <v>23</v>
      </c>
      <c r="E85" s="5" t="s">
        <v>7</v>
      </c>
      <c r="F85" s="4" t="s">
        <v>29</v>
      </c>
    </row>
    <row r="86" spans="1:6" x14ac:dyDescent="0.3">
      <c r="A86" s="9">
        <v>1085</v>
      </c>
      <c r="B86" s="9" t="s">
        <v>6</v>
      </c>
      <c r="C86" s="10">
        <v>58099</v>
      </c>
      <c r="D86" s="9">
        <v>99</v>
      </c>
      <c r="E86" s="9" t="s">
        <v>22</v>
      </c>
      <c r="F86" s="11" t="s">
        <v>8</v>
      </c>
    </row>
    <row r="87" spans="1:6" x14ac:dyDescent="0.3">
      <c r="A87" s="5">
        <v>1086</v>
      </c>
      <c r="B87" s="5" t="s">
        <v>9</v>
      </c>
      <c r="C87" s="12">
        <v>36558</v>
      </c>
      <c r="D87" s="5">
        <v>40</v>
      </c>
      <c r="E87" s="5" t="s">
        <v>16</v>
      </c>
      <c r="F87" s="4" t="s">
        <v>30</v>
      </c>
    </row>
    <row r="88" spans="1:6" x14ac:dyDescent="0.3">
      <c r="A88" s="9">
        <v>1087</v>
      </c>
      <c r="B88" s="9" t="s">
        <v>6</v>
      </c>
      <c r="C88" s="10">
        <v>64799</v>
      </c>
      <c r="D88" s="9">
        <v>40</v>
      </c>
      <c r="E88" s="9" t="s">
        <v>13</v>
      </c>
      <c r="F88" s="11" t="s">
        <v>14</v>
      </c>
    </row>
    <row r="89" spans="1:6" x14ac:dyDescent="0.3">
      <c r="A89" s="5">
        <v>1088</v>
      </c>
      <c r="B89" s="5" t="s">
        <v>18</v>
      </c>
      <c r="C89" s="12">
        <v>112448</v>
      </c>
      <c r="D89" s="5">
        <v>72</v>
      </c>
      <c r="E89" s="5" t="s">
        <v>34</v>
      </c>
      <c r="F89" s="4" t="s">
        <v>23</v>
      </c>
    </row>
    <row r="90" spans="1:6" x14ac:dyDescent="0.3">
      <c r="A90" s="9">
        <v>1089</v>
      </c>
      <c r="B90" s="9" t="s">
        <v>9</v>
      </c>
      <c r="C90" s="10">
        <v>14749</v>
      </c>
      <c r="D90" s="9">
        <v>31</v>
      </c>
      <c r="E90" s="9" t="s">
        <v>7</v>
      </c>
      <c r="F90" s="11" t="s">
        <v>32</v>
      </c>
    </row>
    <row r="91" spans="1:6" x14ac:dyDescent="0.3">
      <c r="A91" s="5">
        <v>1090</v>
      </c>
      <c r="B91" s="5" t="s">
        <v>31</v>
      </c>
      <c r="C91" s="12">
        <v>187127</v>
      </c>
      <c r="D91" s="5">
        <v>39</v>
      </c>
      <c r="E91" s="5" t="s">
        <v>10</v>
      </c>
      <c r="F91" s="4" t="s">
        <v>30</v>
      </c>
    </row>
    <row r="92" spans="1:6" x14ac:dyDescent="0.3">
      <c r="A92" s="9">
        <v>1091</v>
      </c>
      <c r="B92" s="9" t="s">
        <v>24</v>
      </c>
      <c r="C92" s="10">
        <v>36477</v>
      </c>
      <c r="D92" s="9">
        <v>75</v>
      </c>
      <c r="E92" s="9" t="s">
        <v>10</v>
      </c>
      <c r="F92" s="11" t="s">
        <v>17</v>
      </c>
    </row>
    <row r="93" spans="1:6" x14ac:dyDescent="0.3">
      <c r="A93" s="5">
        <v>1092</v>
      </c>
      <c r="B93" s="5" t="s">
        <v>25</v>
      </c>
      <c r="C93" s="12">
        <v>26125</v>
      </c>
      <c r="D93" s="5">
        <v>78</v>
      </c>
      <c r="E93" s="5" t="s">
        <v>10</v>
      </c>
      <c r="F93" s="4" t="s">
        <v>30</v>
      </c>
    </row>
    <row r="94" spans="1:6" x14ac:dyDescent="0.3">
      <c r="A94" s="9">
        <v>1093</v>
      </c>
      <c r="B94" s="9" t="s">
        <v>21</v>
      </c>
      <c r="C94" s="10">
        <v>50469</v>
      </c>
      <c r="D94" s="9">
        <v>49</v>
      </c>
      <c r="E94" s="9" t="s">
        <v>7</v>
      </c>
      <c r="F94" s="11" t="s">
        <v>20</v>
      </c>
    </row>
    <row r="95" spans="1:6" x14ac:dyDescent="0.3">
      <c r="A95" s="5">
        <v>1094</v>
      </c>
      <c r="B95" s="5" t="s">
        <v>12</v>
      </c>
      <c r="C95" s="12">
        <v>158216</v>
      </c>
      <c r="D95" s="5">
        <v>50</v>
      </c>
      <c r="E95" s="5" t="s">
        <v>10</v>
      </c>
      <c r="F95" s="4" t="s">
        <v>30</v>
      </c>
    </row>
    <row r="96" spans="1:6" x14ac:dyDescent="0.3">
      <c r="A96" s="9">
        <v>1095</v>
      </c>
      <c r="B96" s="9" t="s">
        <v>31</v>
      </c>
      <c r="C96" s="10">
        <v>72574</v>
      </c>
      <c r="D96" s="9">
        <v>33</v>
      </c>
      <c r="E96" s="9" t="s">
        <v>7</v>
      </c>
      <c r="F96" s="11" t="s">
        <v>29</v>
      </c>
    </row>
    <row r="97" spans="1:6" x14ac:dyDescent="0.3">
      <c r="A97" s="5">
        <v>1096</v>
      </c>
      <c r="B97" s="5" t="s">
        <v>31</v>
      </c>
      <c r="C97" s="12">
        <v>144882</v>
      </c>
      <c r="D97" s="5">
        <v>16</v>
      </c>
      <c r="E97" s="5" t="s">
        <v>26</v>
      </c>
      <c r="F97" s="4" t="s">
        <v>17</v>
      </c>
    </row>
    <row r="98" spans="1:6" x14ac:dyDescent="0.3">
      <c r="A98" s="9">
        <v>1097</v>
      </c>
      <c r="B98" s="9" t="s">
        <v>9</v>
      </c>
      <c r="C98" s="10">
        <v>155995</v>
      </c>
      <c r="D98" s="9">
        <v>49</v>
      </c>
      <c r="E98" s="9" t="s">
        <v>10</v>
      </c>
      <c r="F98" s="11" t="s">
        <v>8</v>
      </c>
    </row>
    <row r="99" spans="1:6" x14ac:dyDescent="0.3">
      <c r="A99" s="5">
        <v>1098</v>
      </c>
      <c r="B99" s="5" t="s">
        <v>6</v>
      </c>
      <c r="C99" s="12">
        <v>183200</v>
      </c>
      <c r="D99" s="5">
        <v>21</v>
      </c>
      <c r="E99" s="5" t="s">
        <v>10</v>
      </c>
      <c r="F99" s="4" t="s">
        <v>17</v>
      </c>
    </row>
    <row r="100" spans="1:6" x14ac:dyDescent="0.3">
      <c r="A100" s="9">
        <v>1099</v>
      </c>
      <c r="B100" s="9" t="s">
        <v>9</v>
      </c>
      <c r="C100" s="10">
        <v>7559</v>
      </c>
      <c r="D100" s="9">
        <v>79</v>
      </c>
      <c r="E100" s="9" t="s">
        <v>22</v>
      </c>
      <c r="F100" s="11" t="s">
        <v>23</v>
      </c>
    </row>
    <row r="101" spans="1:6" x14ac:dyDescent="0.3">
      <c r="A101" s="5">
        <v>1100</v>
      </c>
      <c r="B101" s="5" t="s">
        <v>6</v>
      </c>
      <c r="C101" s="12">
        <v>121747</v>
      </c>
      <c r="D101" s="5">
        <v>18</v>
      </c>
      <c r="E101" s="5" t="s">
        <v>27</v>
      </c>
      <c r="F101" s="4" t="s">
        <v>23</v>
      </c>
    </row>
    <row r="102" spans="1:6" x14ac:dyDescent="0.3">
      <c r="A102" s="9">
        <v>1101</v>
      </c>
      <c r="B102" s="9" t="s">
        <v>28</v>
      </c>
      <c r="C102" s="10">
        <v>141059</v>
      </c>
      <c r="D102" s="9">
        <v>37</v>
      </c>
      <c r="E102" s="9" t="s">
        <v>22</v>
      </c>
      <c r="F102" s="11" t="s">
        <v>17</v>
      </c>
    </row>
    <row r="103" spans="1:6" x14ac:dyDescent="0.3">
      <c r="A103" s="5">
        <v>1102</v>
      </c>
      <c r="B103" s="5" t="s">
        <v>28</v>
      </c>
      <c r="C103" s="12">
        <v>164630</v>
      </c>
      <c r="D103" s="5">
        <v>14</v>
      </c>
      <c r="E103" s="5" t="s">
        <v>22</v>
      </c>
      <c r="F103" s="4" t="s">
        <v>23</v>
      </c>
    </row>
    <row r="104" spans="1:6" x14ac:dyDescent="0.3">
      <c r="A104" s="9">
        <v>1103</v>
      </c>
      <c r="B104" s="9" t="s">
        <v>18</v>
      </c>
      <c r="C104" s="10">
        <v>129170</v>
      </c>
      <c r="D104" s="9">
        <v>74</v>
      </c>
      <c r="E104" s="9" t="s">
        <v>19</v>
      </c>
      <c r="F104" s="11" t="s">
        <v>29</v>
      </c>
    </row>
    <row r="105" spans="1:6" x14ac:dyDescent="0.3">
      <c r="A105" s="5">
        <v>1104</v>
      </c>
      <c r="B105" s="5" t="s">
        <v>9</v>
      </c>
      <c r="C105" s="12">
        <v>138944</v>
      </c>
      <c r="D105" s="5">
        <v>39</v>
      </c>
      <c r="E105" s="5" t="s">
        <v>7</v>
      </c>
      <c r="F105" s="4" t="s">
        <v>29</v>
      </c>
    </row>
    <row r="106" spans="1:6" x14ac:dyDescent="0.3">
      <c r="A106" s="9">
        <v>1105</v>
      </c>
      <c r="B106" s="9" t="s">
        <v>15</v>
      </c>
      <c r="C106" s="10">
        <v>62563</v>
      </c>
      <c r="D106" s="9">
        <v>6</v>
      </c>
      <c r="E106" s="9" t="s">
        <v>22</v>
      </c>
      <c r="F106" s="11" t="s">
        <v>32</v>
      </c>
    </row>
    <row r="107" spans="1:6" x14ac:dyDescent="0.3">
      <c r="A107" s="5">
        <v>1106</v>
      </c>
      <c r="B107" s="5" t="s">
        <v>12</v>
      </c>
      <c r="C107" s="12">
        <v>147164</v>
      </c>
      <c r="D107" s="5">
        <v>63</v>
      </c>
      <c r="E107" s="5" t="s">
        <v>22</v>
      </c>
      <c r="F107" s="4" t="s">
        <v>17</v>
      </c>
    </row>
    <row r="108" spans="1:6" x14ac:dyDescent="0.3">
      <c r="A108" s="9">
        <v>1107</v>
      </c>
      <c r="B108" s="9" t="s">
        <v>28</v>
      </c>
      <c r="C108" s="10">
        <v>173414</v>
      </c>
      <c r="D108" s="9">
        <v>97</v>
      </c>
      <c r="E108" s="9" t="s">
        <v>34</v>
      </c>
      <c r="F108" s="11" t="s">
        <v>17</v>
      </c>
    </row>
    <row r="109" spans="1:6" x14ac:dyDescent="0.3">
      <c r="A109" s="5">
        <v>1108</v>
      </c>
      <c r="B109" s="5" t="s">
        <v>28</v>
      </c>
      <c r="C109" s="12">
        <v>193835</v>
      </c>
      <c r="D109" s="5">
        <v>68</v>
      </c>
      <c r="E109" s="5" t="s">
        <v>16</v>
      </c>
      <c r="F109" s="4" t="s">
        <v>33</v>
      </c>
    </row>
    <row r="110" spans="1:6" x14ac:dyDescent="0.3">
      <c r="A110" s="9">
        <v>1109</v>
      </c>
      <c r="B110" s="9" t="s">
        <v>12</v>
      </c>
      <c r="C110" s="10">
        <v>85470</v>
      </c>
      <c r="D110" s="9">
        <v>6</v>
      </c>
      <c r="E110" s="9" t="s">
        <v>26</v>
      </c>
      <c r="F110" s="11" t="s">
        <v>32</v>
      </c>
    </row>
    <row r="111" spans="1:6" x14ac:dyDescent="0.3">
      <c r="A111" s="5">
        <v>1110</v>
      </c>
      <c r="B111" s="5" t="s">
        <v>25</v>
      </c>
      <c r="C111" s="12">
        <v>124825</v>
      </c>
      <c r="D111" s="5">
        <v>65</v>
      </c>
      <c r="E111" s="5" t="s">
        <v>26</v>
      </c>
      <c r="F111" s="4" t="s">
        <v>14</v>
      </c>
    </row>
    <row r="112" spans="1:6" x14ac:dyDescent="0.3">
      <c r="A112" s="9">
        <v>1111</v>
      </c>
      <c r="B112" s="9" t="s">
        <v>25</v>
      </c>
      <c r="C112" s="10">
        <v>59694</v>
      </c>
      <c r="D112" s="9">
        <v>28</v>
      </c>
      <c r="E112" s="9" t="s">
        <v>22</v>
      </c>
      <c r="F112" s="11" t="s">
        <v>8</v>
      </c>
    </row>
    <row r="113" spans="1:6" x14ac:dyDescent="0.3">
      <c r="A113" s="5">
        <v>1112</v>
      </c>
      <c r="B113" s="5" t="s">
        <v>6</v>
      </c>
      <c r="C113" s="12">
        <v>167584</v>
      </c>
      <c r="D113" s="5">
        <v>12</v>
      </c>
      <c r="E113" s="5" t="s">
        <v>22</v>
      </c>
      <c r="F113" s="4" t="s">
        <v>32</v>
      </c>
    </row>
    <row r="114" spans="1:6" x14ac:dyDescent="0.3">
      <c r="A114" s="9">
        <v>1113</v>
      </c>
      <c r="B114" s="9" t="s">
        <v>12</v>
      </c>
      <c r="C114" s="10">
        <v>81524</v>
      </c>
      <c r="D114" s="9">
        <v>53</v>
      </c>
      <c r="E114" s="9" t="s">
        <v>22</v>
      </c>
      <c r="F114" s="11" t="s">
        <v>33</v>
      </c>
    </row>
    <row r="115" spans="1:6" x14ac:dyDescent="0.3">
      <c r="A115" s="5">
        <v>1114</v>
      </c>
      <c r="B115" s="5" t="s">
        <v>25</v>
      </c>
      <c r="C115" s="12">
        <v>115986</v>
      </c>
      <c r="D115" s="5">
        <v>41</v>
      </c>
      <c r="E115" s="5" t="s">
        <v>10</v>
      </c>
      <c r="F115" s="4" t="s">
        <v>20</v>
      </c>
    </row>
    <row r="116" spans="1:6" x14ac:dyDescent="0.3">
      <c r="A116" s="9">
        <v>1115</v>
      </c>
      <c r="B116" s="9" t="s">
        <v>15</v>
      </c>
      <c r="C116" s="10">
        <v>24154</v>
      </c>
      <c r="D116" s="9">
        <v>65</v>
      </c>
      <c r="E116" s="9" t="s">
        <v>34</v>
      </c>
      <c r="F116" s="11" t="s">
        <v>33</v>
      </c>
    </row>
    <row r="117" spans="1:6" x14ac:dyDescent="0.3">
      <c r="A117" s="5">
        <v>1116</v>
      </c>
      <c r="B117" s="5" t="s">
        <v>9</v>
      </c>
      <c r="C117" s="12">
        <v>120358</v>
      </c>
      <c r="D117" s="5">
        <v>67</v>
      </c>
      <c r="E117" s="5" t="s">
        <v>13</v>
      </c>
      <c r="F117" s="4" t="s">
        <v>14</v>
      </c>
    </row>
    <row r="118" spans="1:6" x14ac:dyDescent="0.3">
      <c r="A118" s="9">
        <v>1117</v>
      </c>
      <c r="B118" s="9" t="s">
        <v>25</v>
      </c>
      <c r="C118" s="10">
        <v>100697</v>
      </c>
      <c r="D118" s="9">
        <v>13</v>
      </c>
      <c r="E118" s="9" t="s">
        <v>13</v>
      </c>
      <c r="F118" s="11" t="s">
        <v>29</v>
      </c>
    </row>
    <row r="119" spans="1:6" x14ac:dyDescent="0.3">
      <c r="A119" s="5">
        <v>1118</v>
      </c>
      <c r="B119" s="5" t="s">
        <v>25</v>
      </c>
      <c r="C119" s="12">
        <v>85861</v>
      </c>
      <c r="D119" s="5">
        <v>13</v>
      </c>
      <c r="E119" s="5" t="s">
        <v>27</v>
      </c>
      <c r="F119" s="4" t="s">
        <v>33</v>
      </c>
    </row>
    <row r="120" spans="1:6" x14ac:dyDescent="0.3">
      <c r="A120" s="9">
        <v>1119</v>
      </c>
      <c r="B120" s="9" t="s">
        <v>18</v>
      </c>
      <c r="C120" s="10">
        <v>123552</v>
      </c>
      <c r="D120" s="9">
        <v>99</v>
      </c>
      <c r="E120" s="9" t="s">
        <v>7</v>
      </c>
      <c r="F120" s="11" t="s">
        <v>11</v>
      </c>
    </row>
    <row r="121" spans="1:6" x14ac:dyDescent="0.3">
      <c r="A121" s="5">
        <v>1120</v>
      </c>
      <c r="B121" s="5" t="s">
        <v>9</v>
      </c>
      <c r="C121" s="12">
        <v>100499</v>
      </c>
      <c r="D121" s="5">
        <v>68</v>
      </c>
      <c r="E121" s="5" t="s">
        <v>19</v>
      </c>
      <c r="F121" s="4" t="s">
        <v>32</v>
      </c>
    </row>
    <row r="122" spans="1:6" x14ac:dyDescent="0.3">
      <c r="A122" s="9">
        <v>1121</v>
      </c>
      <c r="B122" s="9" t="s">
        <v>6</v>
      </c>
      <c r="C122" s="10">
        <v>4431</v>
      </c>
      <c r="D122" s="9">
        <v>67</v>
      </c>
      <c r="E122" s="9" t="s">
        <v>13</v>
      </c>
      <c r="F122" s="11" t="s">
        <v>23</v>
      </c>
    </row>
    <row r="123" spans="1:6" x14ac:dyDescent="0.3">
      <c r="A123" s="5">
        <v>1122</v>
      </c>
      <c r="B123" s="5" t="s">
        <v>25</v>
      </c>
      <c r="C123" s="12">
        <v>113674</v>
      </c>
      <c r="D123" s="5">
        <v>9</v>
      </c>
      <c r="E123" s="5" t="s">
        <v>34</v>
      </c>
      <c r="F123" s="4" t="s">
        <v>20</v>
      </c>
    </row>
    <row r="124" spans="1:6" x14ac:dyDescent="0.3">
      <c r="A124" s="9">
        <v>1123</v>
      </c>
      <c r="B124" s="9" t="s">
        <v>9</v>
      </c>
      <c r="C124" s="10">
        <v>53812</v>
      </c>
      <c r="D124" s="9">
        <v>82</v>
      </c>
      <c r="E124" s="9" t="s">
        <v>13</v>
      </c>
      <c r="F124" s="11" t="s">
        <v>29</v>
      </c>
    </row>
    <row r="125" spans="1:6" x14ac:dyDescent="0.3">
      <c r="A125" s="5">
        <v>1124</v>
      </c>
      <c r="B125" s="5" t="s">
        <v>31</v>
      </c>
      <c r="C125" s="12">
        <v>59670</v>
      </c>
      <c r="D125" s="5">
        <v>37</v>
      </c>
      <c r="E125" s="5" t="s">
        <v>34</v>
      </c>
      <c r="F125" s="4" t="s">
        <v>30</v>
      </c>
    </row>
    <row r="126" spans="1:6" x14ac:dyDescent="0.3">
      <c r="A126" s="9">
        <v>1125</v>
      </c>
      <c r="B126" s="9" t="s">
        <v>15</v>
      </c>
      <c r="C126" s="10">
        <v>137671</v>
      </c>
      <c r="D126" s="9">
        <v>69</v>
      </c>
      <c r="E126" s="9" t="s">
        <v>27</v>
      </c>
      <c r="F126" s="11" t="s">
        <v>14</v>
      </c>
    </row>
    <row r="127" spans="1:6" x14ac:dyDescent="0.3">
      <c r="A127" s="5">
        <v>1126</v>
      </c>
      <c r="B127" s="5" t="s">
        <v>12</v>
      </c>
      <c r="C127" s="12">
        <v>198404</v>
      </c>
      <c r="D127" s="5">
        <v>64</v>
      </c>
      <c r="E127" s="5" t="s">
        <v>13</v>
      </c>
      <c r="F127" s="4" t="s">
        <v>8</v>
      </c>
    </row>
    <row r="128" spans="1:6" x14ac:dyDescent="0.3">
      <c r="A128" s="9">
        <v>1127</v>
      </c>
      <c r="B128" s="9" t="s">
        <v>28</v>
      </c>
      <c r="C128" s="10">
        <v>28950</v>
      </c>
      <c r="D128" s="9">
        <v>90</v>
      </c>
      <c r="E128" s="9" t="s">
        <v>7</v>
      </c>
      <c r="F128" s="11" t="s">
        <v>17</v>
      </c>
    </row>
    <row r="129" spans="1:6" x14ac:dyDescent="0.3">
      <c r="A129" s="5">
        <v>1128</v>
      </c>
      <c r="B129" s="5" t="s">
        <v>24</v>
      </c>
      <c r="C129" s="12">
        <v>191934</v>
      </c>
      <c r="D129" s="5">
        <v>94</v>
      </c>
      <c r="E129" s="5" t="s">
        <v>34</v>
      </c>
      <c r="F129" s="4" t="s">
        <v>20</v>
      </c>
    </row>
    <row r="130" spans="1:6" x14ac:dyDescent="0.3">
      <c r="A130" s="9">
        <v>1129</v>
      </c>
      <c r="B130" s="9" t="s">
        <v>28</v>
      </c>
      <c r="C130" s="10">
        <v>120381</v>
      </c>
      <c r="D130" s="9">
        <v>13</v>
      </c>
      <c r="E130" s="9" t="s">
        <v>26</v>
      </c>
      <c r="F130" s="11" t="s">
        <v>29</v>
      </c>
    </row>
    <row r="131" spans="1:6" x14ac:dyDescent="0.3">
      <c r="A131" s="5">
        <v>1130</v>
      </c>
      <c r="B131" s="5" t="s">
        <v>9</v>
      </c>
      <c r="C131" s="12">
        <v>154885</v>
      </c>
      <c r="D131" s="5">
        <v>18</v>
      </c>
      <c r="E131" s="5" t="s">
        <v>10</v>
      </c>
      <c r="F131" s="4" t="s">
        <v>32</v>
      </c>
    </row>
    <row r="132" spans="1:6" x14ac:dyDescent="0.3">
      <c r="A132" s="9">
        <v>1131</v>
      </c>
      <c r="B132" s="9" t="s">
        <v>28</v>
      </c>
      <c r="C132" s="10">
        <v>50679</v>
      </c>
      <c r="D132" s="9">
        <v>44</v>
      </c>
      <c r="E132" s="9" t="s">
        <v>10</v>
      </c>
      <c r="F132" s="11" t="s">
        <v>20</v>
      </c>
    </row>
    <row r="133" spans="1:6" x14ac:dyDescent="0.3">
      <c r="A133" s="5">
        <v>1132</v>
      </c>
      <c r="B133" s="5" t="s">
        <v>6</v>
      </c>
      <c r="C133" s="12">
        <v>41753</v>
      </c>
      <c r="D133" s="5">
        <v>84</v>
      </c>
      <c r="E133" s="5" t="s">
        <v>22</v>
      </c>
      <c r="F133" s="4" t="s">
        <v>17</v>
      </c>
    </row>
    <row r="134" spans="1:6" x14ac:dyDescent="0.3">
      <c r="A134" s="9">
        <v>1133</v>
      </c>
      <c r="B134" s="9" t="s">
        <v>6</v>
      </c>
      <c r="C134" s="10">
        <v>184303</v>
      </c>
      <c r="D134" s="9">
        <v>71</v>
      </c>
      <c r="E134" s="9" t="s">
        <v>13</v>
      </c>
      <c r="F134" s="11" t="s">
        <v>23</v>
      </c>
    </row>
    <row r="135" spans="1:6" x14ac:dyDescent="0.3">
      <c r="A135" s="5">
        <v>1134</v>
      </c>
      <c r="B135" s="5" t="s">
        <v>21</v>
      </c>
      <c r="C135" s="12">
        <v>174326</v>
      </c>
      <c r="D135" s="5">
        <v>27</v>
      </c>
      <c r="E135" s="5" t="s">
        <v>16</v>
      </c>
      <c r="F135" s="4" t="s">
        <v>14</v>
      </c>
    </row>
    <row r="136" spans="1:6" x14ac:dyDescent="0.3">
      <c r="A136" s="9">
        <v>1135</v>
      </c>
      <c r="B136" s="9" t="s">
        <v>24</v>
      </c>
      <c r="C136" s="10">
        <v>158965</v>
      </c>
      <c r="D136" s="9">
        <v>57</v>
      </c>
      <c r="E136" s="9" t="s">
        <v>10</v>
      </c>
      <c r="F136" s="11" t="s">
        <v>32</v>
      </c>
    </row>
    <row r="137" spans="1:6" x14ac:dyDescent="0.3">
      <c r="A137" s="5">
        <v>1136</v>
      </c>
      <c r="B137" s="5" t="s">
        <v>9</v>
      </c>
      <c r="C137" s="12">
        <v>128208</v>
      </c>
      <c r="D137" s="5">
        <v>57</v>
      </c>
      <c r="E137" s="5" t="s">
        <v>13</v>
      </c>
      <c r="F137" s="4" t="s">
        <v>32</v>
      </c>
    </row>
    <row r="138" spans="1:6" x14ac:dyDescent="0.3">
      <c r="A138" s="9">
        <v>1137</v>
      </c>
      <c r="B138" s="9" t="s">
        <v>15</v>
      </c>
      <c r="C138" s="10">
        <v>13964</v>
      </c>
      <c r="D138" s="9">
        <v>62</v>
      </c>
      <c r="E138" s="9" t="s">
        <v>22</v>
      </c>
      <c r="F138" s="11" t="s">
        <v>20</v>
      </c>
    </row>
    <row r="139" spans="1:6" x14ac:dyDescent="0.3">
      <c r="A139" s="5">
        <v>1138</v>
      </c>
      <c r="B139" s="5" t="s">
        <v>21</v>
      </c>
      <c r="C139" s="12">
        <v>113799</v>
      </c>
      <c r="D139" s="5">
        <v>7</v>
      </c>
      <c r="E139" s="5" t="s">
        <v>10</v>
      </c>
      <c r="F139" s="4" t="s">
        <v>14</v>
      </c>
    </row>
    <row r="140" spans="1:6" x14ac:dyDescent="0.3">
      <c r="A140" s="9">
        <v>1139</v>
      </c>
      <c r="B140" s="9" t="s">
        <v>18</v>
      </c>
      <c r="C140" s="10">
        <v>138697</v>
      </c>
      <c r="D140" s="9">
        <v>33</v>
      </c>
      <c r="E140" s="9" t="s">
        <v>27</v>
      </c>
      <c r="F140" s="11" t="s">
        <v>20</v>
      </c>
    </row>
    <row r="141" spans="1:6" x14ac:dyDescent="0.3">
      <c r="A141" s="5">
        <v>1140</v>
      </c>
      <c r="B141" s="5" t="s">
        <v>9</v>
      </c>
      <c r="C141" s="12">
        <v>85192</v>
      </c>
      <c r="D141" s="5">
        <v>29</v>
      </c>
      <c r="E141" s="5" t="s">
        <v>34</v>
      </c>
      <c r="F141" s="4" t="s">
        <v>33</v>
      </c>
    </row>
    <row r="142" spans="1:6" x14ac:dyDescent="0.3">
      <c r="A142" s="9">
        <v>1141</v>
      </c>
      <c r="B142" s="9" t="s">
        <v>18</v>
      </c>
      <c r="C142" s="10">
        <v>84190</v>
      </c>
      <c r="D142" s="9">
        <v>26</v>
      </c>
      <c r="E142" s="9" t="s">
        <v>10</v>
      </c>
      <c r="F142" s="11" t="s">
        <v>20</v>
      </c>
    </row>
    <row r="143" spans="1:6" x14ac:dyDescent="0.3">
      <c r="A143" s="5">
        <v>1142</v>
      </c>
      <c r="B143" s="5" t="s">
        <v>24</v>
      </c>
      <c r="C143" s="12">
        <v>115628</v>
      </c>
      <c r="D143" s="5">
        <v>57</v>
      </c>
      <c r="E143" s="5" t="s">
        <v>7</v>
      </c>
      <c r="F143" s="4" t="s">
        <v>8</v>
      </c>
    </row>
    <row r="144" spans="1:6" x14ac:dyDescent="0.3">
      <c r="A144" s="9">
        <v>1143</v>
      </c>
      <c r="B144" s="9" t="s">
        <v>21</v>
      </c>
      <c r="C144" s="10">
        <v>145809</v>
      </c>
      <c r="D144" s="9">
        <v>74</v>
      </c>
      <c r="E144" s="9" t="s">
        <v>34</v>
      </c>
      <c r="F144" s="11" t="s">
        <v>8</v>
      </c>
    </row>
    <row r="145" spans="1:6" x14ac:dyDescent="0.3">
      <c r="A145" s="5">
        <v>1144</v>
      </c>
      <c r="B145" s="5" t="s">
        <v>24</v>
      </c>
      <c r="C145" s="12">
        <v>28844</v>
      </c>
      <c r="D145" s="5">
        <v>18</v>
      </c>
      <c r="E145" s="5" t="s">
        <v>26</v>
      </c>
      <c r="F145" s="4" t="s">
        <v>17</v>
      </c>
    </row>
    <row r="146" spans="1:6" x14ac:dyDescent="0.3">
      <c r="A146" s="9">
        <v>1145</v>
      </c>
      <c r="B146" s="9" t="s">
        <v>28</v>
      </c>
      <c r="C146" s="10">
        <v>118594</v>
      </c>
      <c r="D146" s="9">
        <v>53</v>
      </c>
      <c r="E146" s="9" t="s">
        <v>27</v>
      </c>
      <c r="F146" s="11" t="s">
        <v>32</v>
      </c>
    </row>
    <row r="147" spans="1:6" x14ac:dyDescent="0.3">
      <c r="A147" s="5">
        <v>1146</v>
      </c>
      <c r="B147" s="5" t="s">
        <v>25</v>
      </c>
      <c r="C147" s="12">
        <v>161330</v>
      </c>
      <c r="D147" s="5">
        <v>70</v>
      </c>
      <c r="E147" s="5" t="s">
        <v>34</v>
      </c>
      <c r="F147" s="4" t="s">
        <v>17</v>
      </c>
    </row>
    <row r="148" spans="1:6" x14ac:dyDescent="0.3">
      <c r="A148" s="9">
        <v>1147</v>
      </c>
      <c r="B148" s="9" t="s">
        <v>25</v>
      </c>
      <c r="C148" s="10">
        <v>93274</v>
      </c>
      <c r="D148" s="9">
        <v>67</v>
      </c>
      <c r="E148" s="9" t="s">
        <v>19</v>
      </c>
      <c r="F148" s="11" t="s">
        <v>33</v>
      </c>
    </row>
    <row r="149" spans="1:6" x14ac:dyDescent="0.3">
      <c r="A149" s="5">
        <v>1148</v>
      </c>
      <c r="B149" s="5" t="s">
        <v>9</v>
      </c>
      <c r="C149" s="12">
        <v>91895</v>
      </c>
      <c r="D149" s="5">
        <v>28</v>
      </c>
      <c r="E149" s="5" t="s">
        <v>16</v>
      </c>
      <c r="F149" s="4" t="s">
        <v>32</v>
      </c>
    </row>
    <row r="150" spans="1:6" x14ac:dyDescent="0.3">
      <c r="A150" s="9">
        <v>1149</v>
      </c>
      <c r="B150" s="9" t="s">
        <v>31</v>
      </c>
      <c r="C150" s="10">
        <v>159709</v>
      </c>
      <c r="D150" s="9">
        <v>97</v>
      </c>
      <c r="E150" s="9" t="s">
        <v>34</v>
      </c>
      <c r="F150" s="11" t="s">
        <v>11</v>
      </c>
    </row>
    <row r="151" spans="1:6" x14ac:dyDescent="0.3">
      <c r="A151" s="5">
        <v>1150</v>
      </c>
      <c r="B151" s="5" t="s">
        <v>15</v>
      </c>
      <c r="C151" s="12">
        <v>156295</v>
      </c>
      <c r="D151" s="5">
        <v>48</v>
      </c>
      <c r="E151" s="5" t="s">
        <v>16</v>
      </c>
      <c r="F151" s="4" t="s">
        <v>14</v>
      </c>
    </row>
    <row r="152" spans="1:6" x14ac:dyDescent="0.3">
      <c r="A152" s="9">
        <v>1151</v>
      </c>
      <c r="B152" s="9" t="s">
        <v>6</v>
      </c>
      <c r="C152" s="10">
        <v>128842</v>
      </c>
      <c r="D152" s="9">
        <v>89</v>
      </c>
      <c r="E152" s="9" t="s">
        <v>34</v>
      </c>
      <c r="F152" s="11" t="s">
        <v>20</v>
      </c>
    </row>
    <row r="153" spans="1:6" x14ac:dyDescent="0.3">
      <c r="A153" s="5">
        <v>1152</v>
      </c>
      <c r="B153" s="5" t="s">
        <v>21</v>
      </c>
      <c r="C153" s="12">
        <v>171355</v>
      </c>
      <c r="D153" s="5">
        <v>24</v>
      </c>
      <c r="E153" s="5" t="s">
        <v>19</v>
      </c>
      <c r="F153" s="4" t="s">
        <v>11</v>
      </c>
    </row>
    <row r="154" spans="1:6" x14ac:dyDescent="0.3">
      <c r="A154" s="9">
        <v>1153</v>
      </c>
      <c r="B154" s="9" t="s">
        <v>15</v>
      </c>
      <c r="C154" s="10">
        <v>13865</v>
      </c>
      <c r="D154" s="9">
        <v>45</v>
      </c>
      <c r="E154" s="9" t="s">
        <v>13</v>
      </c>
      <c r="F154" s="11" t="s">
        <v>30</v>
      </c>
    </row>
    <row r="155" spans="1:6" x14ac:dyDescent="0.3">
      <c r="A155" s="5">
        <v>1154</v>
      </c>
      <c r="B155" s="5" t="s">
        <v>9</v>
      </c>
      <c r="C155" s="12">
        <v>61491</v>
      </c>
      <c r="D155" s="5">
        <v>69</v>
      </c>
      <c r="E155" s="5" t="s">
        <v>10</v>
      </c>
      <c r="F155" s="4" t="s">
        <v>14</v>
      </c>
    </row>
    <row r="156" spans="1:6" x14ac:dyDescent="0.3">
      <c r="A156" s="9">
        <v>1155</v>
      </c>
      <c r="B156" s="9" t="s">
        <v>28</v>
      </c>
      <c r="C156" s="10">
        <v>60849</v>
      </c>
      <c r="D156" s="9">
        <v>37</v>
      </c>
      <c r="E156" s="9" t="s">
        <v>26</v>
      </c>
      <c r="F156" s="11" t="s">
        <v>14</v>
      </c>
    </row>
    <row r="157" spans="1:6" x14ac:dyDescent="0.3">
      <c r="A157" s="5">
        <v>1156</v>
      </c>
      <c r="B157" s="5" t="s">
        <v>31</v>
      </c>
      <c r="C157" s="12">
        <v>25711</v>
      </c>
      <c r="D157" s="5">
        <v>6</v>
      </c>
      <c r="E157" s="5" t="s">
        <v>22</v>
      </c>
      <c r="F157" s="4" t="s">
        <v>14</v>
      </c>
    </row>
    <row r="158" spans="1:6" x14ac:dyDescent="0.3">
      <c r="A158" s="9">
        <v>1157</v>
      </c>
      <c r="B158" s="9" t="s">
        <v>6</v>
      </c>
      <c r="C158" s="10">
        <v>30011</v>
      </c>
      <c r="D158" s="9">
        <v>22</v>
      </c>
      <c r="E158" s="9" t="s">
        <v>10</v>
      </c>
      <c r="F158" s="11" t="s">
        <v>32</v>
      </c>
    </row>
    <row r="159" spans="1:6" x14ac:dyDescent="0.3">
      <c r="A159" s="5">
        <v>1158</v>
      </c>
      <c r="B159" s="5" t="s">
        <v>31</v>
      </c>
      <c r="C159" s="12">
        <v>158424</v>
      </c>
      <c r="D159" s="5">
        <v>51</v>
      </c>
      <c r="E159" s="5" t="s">
        <v>19</v>
      </c>
      <c r="F159" s="4" t="s">
        <v>32</v>
      </c>
    </row>
    <row r="160" spans="1:6" x14ac:dyDescent="0.3">
      <c r="A160" s="9">
        <v>1159</v>
      </c>
      <c r="B160" s="9" t="s">
        <v>24</v>
      </c>
      <c r="C160" s="10">
        <v>194294</v>
      </c>
      <c r="D160" s="9">
        <v>86</v>
      </c>
      <c r="E160" s="9" t="s">
        <v>7</v>
      </c>
      <c r="F160" s="11" t="s">
        <v>30</v>
      </c>
    </row>
    <row r="161" spans="1:6" x14ac:dyDescent="0.3">
      <c r="A161" s="5">
        <v>1160</v>
      </c>
      <c r="B161" s="5" t="s">
        <v>6</v>
      </c>
      <c r="C161" s="12">
        <v>137891</v>
      </c>
      <c r="D161" s="5">
        <v>8</v>
      </c>
      <c r="E161" s="5" t="s">
        <v>22</v>
      </c>
      <c r="F161" s="4" t="s">
        <v>17</v>
      </c>
    </row>
    <row r="162" spans="1:6" x14ac:dyDescent="0.3">
      <c r="A162" s="9">
        <v>1161</v>
      </c>
      <c r="B162" s="9" t="s">
        <v>18</v>
      </c>
      <c r="C162" s="10">
        <v>122208</v>
      </c>
      <c r="D162" s="9">
        <v>15</v>
      </c>
      <c r="E162" s="9" t="s">
        <v>13</v>
      </c>
      <c r="F162" s="11" t="s">
        <v>8</v>
      </c>
    </row>
    <row r="163" spans="1:6" x14ac:dyDescent="0.3">
      <c r="A163" s="5">
        <v>1162</v>
      </c>
      <c r="B163" s="5" t="s">
        <v>21</v>
      </c>
      <c r="C163" s="12">
        <v>120649</v>
      </c>
      <c r="D163" s="5">
        <v>42</v>
      </c>
      <c r="E163" s="5" t="s">
        <v>26</v>
      </c>
      <c r="F163" s="4" t="s">
        <v>29</v>
      </c>
    </row>
    <row r="164" spans="1:6" x14ac:dyDescent="0.3">
      <c r="A164" s="9">
        <v>1163</v>
      </c>
      <c r="B164" s="9" t="s">
        <v>15</v>
      </c>
      <c r="C164" s="10">
        <v>120707</v>
      </c>
      <c r="D164" s="9">
        <v>94</v>
      </c>
      <c r="E164" s="9" t="s">
        <v>19</v>
      </c>
      <c r="F164" s="11" t="s">
        <v>8</v>
      </c>
    </row>
    <row r="165" spans="1:6" x14ac:dyDescent="0.3">
      <c r="A165" s="5">
        <v>1164</v>
      </c>
      <c r="B165" s="5" t="s">
        <v>25</v>
      </c>
      <c r="C165" s="12">
        <v>148731</v>
      </c>
      <c r="D165" s="5">
        <v>92</v>
      </c>
      <c r="E165" s="5" t="s">
        <v>26</v>
      </c>
      <c r="F165" s="4" t="s">
        <v>11</v>
      </c>
    </row>
    <row r="166" spans="1:6" x14ac:dyDescent="0.3">
      <c r="A166" s="9">
        <v>1165</v>
      </c>
      <c r="B166" s="9" t="s">
        <v>21</v>
      </c>
      <c r="C166" s="10">
        <v>43983</v>
      </c>
      <c r="D166" s="9">
        <v>10</v>
      </c>
      <c r="E166" s="9" t="s">
        <v>7</v>
      </c>
      <c r="F166" s="11" t="s">
        <v>14</v>
      </c>
    </row>
    <row r="167" spans="1:6" x14ac:dyDescent="0.3">
      <c r="A167" s="5">
        <v>1166</v>
      </c>
      <c r="B167" s="5" t="s">
        <v>15</v>
      </c>
      <c r="C167" s="12">
        <v>189944</v>
      </c>
      <c r="D167" s="5">
        <v>92</v>
      </c>
      <c r="E167" s="5" t="s">
        <v>16</v>
      </c>
      <c r="F167" s="4" t="s">
        <v>33</v>
      </c>
    </row>
    <row r="168" spans="1:6" x14ac:dyDescent="0.3">
      <c r="A168" s="9">
        <v>1167</v>
      </c>
      <c r="B168" s="9" t="s">
        <v>28</v>
      </c>
      <c r="C168" s="10">
        <v>69197</v>
      </c>
      <c r="D168" s="9">
        <v>58</v>
      </c>
      <c r="E168" s="9" t="s">
        <v>26</v>
      </c>
      <c r="F168" s="11" t="s">
        <v>20</v>
      </c>
    </row>
    <row r="169" spans="1:6" x14ac:dyDescent="0.3">
      <c r="A169" s="5">
        <v>1168</v>
      </c>
      <c r="B169" s="5" t="s">
        <v>28</v>
      </c>
      <c r="C169" s="12">
        <v>36059</v>
      </c>
      <c r="D169" s="5">
        <v>93</v>
      </c>
      <c r="E169" s="5" t="s">
        <v>7</v>
      </c>
      <c r="F169" s="4" t="s">
        <v>29</v>
      </c>
    </row>
    <row r="170" spans="1:6" x14ac:dyDescent="0.3">
      <c r="A170" s="9">
        <v>1169</v>
      </c>
      <c r="B170" s="9" t="s">
        <v>9</v>
      </c>
      <c r="C170" s="10">
        <v>95320</v>
      </c>
      <c r="D170" s="9">
        <v>91</v>
      </c>
      <c r="E170" s="9" t="s">
        <v>22</v>
      </c>
      <c r="F170" s="11" t="s">
        <v>30</v>
      </c>
    </row>
    <row r="171" spans="1:6" x14ac:dyDescent="0.3">
      <c r="A171" s="5">
        <v>1170</v>
      </c>
      <c r="B171" s="5" t="s">
        <v>15</v>
      </c>
      <c r="C171" s="12">
        <v>148201</v>
      </c>
      <c r="D171" s="5">
        <v>88</v>
      </c>
      <c r="E171" s="5" t="s">
        <v>10</v>
      </c>
      <c r="F171" s="4" t="s">
        <v>8</v>
      </c>
    </row>
    <row r="172" spans="1:6" x14ac:dyDescent="0.3">
      <c r="A172" s="9">
        <v>1171</v>
      </c>
      <c r="B172" s="9" t="s">
        <v>28</v>
      </c>
      <c r="C172" s="10">
        <v>175673</v>
      </c>
      <c r="D172" s="9">
        <v>30</v>
      </c>
      <c r="E172" s="9" t="s">
        <v>19</v>
      </c>
      <c r="F172" s="11" t="s">
        <v>14</v>
      </c>
    </row>
    <row r="173" spans="1:6" x14ac:dyDescent="0.3">
      <c r="A173" s="5">
        <v>1172</v>
      </c>
      <c r="B173" s="5" t="s">
        <v>9</v>
      </c>
      <c r="C173" s="12">
        <v>174592</v>
      </c>
      <c r="D173" s="5">
        <v>73</v>
      </c>
      <c r="E173" s="5" t="s">
        <v>27</v>
      </c>
      <c r="F173" s="4" t="s">
        <v>23</v>
      </c>
    </row>
    <row r="174" spans="1:6" x14ac:dyDescent="0.3">
      <c r="A174" s="9">
        <v>1173</v>
      </c>
      <c r="B174" s="9" t="s">
        <v>31</v>
      </c>
      <c r="C174" s="10">
        <v>94202</v>
      </c>
      <c r="D174" s="9">
        <v>28</v>
      </c>
      <c r="E174" s="9" t="s">
        <v>7</v>
      </c>
      <c r="F174" s="11" t="s">
        <v>17</v>
      </c>
    </row>
    <row r="175" spans="1:6" x14ac:dyDescent="0.3">
      <c r="A175" s="5">
        <v>1174</v>
      </c>
      <c r="B175" s="5" t="s">
        <v>21</v>
      </c>
      <c r="C175" s="12">
        <v>146646</v>
      </c>
      <c r="D175" s="5">
        <v>53</v>
      </c>
      <c r="E175" s="5" t="s">
        <v>34</v>
      </c>
      <c r="F175" s="4" t="s">
        <v>11</v>
      </c>
    </row>
    <row r="176" spans="1:6" x14ac:dyDescent="0.3">
      <c r="A176" s="9">
        <v>1175</v>
      </c>
      <c r="B176" s="9" t="s">
        <v>9</v>
      </c>
      <c r="C176" s="10">
        <v>63131</v>
      </c>
      <c r="D176" s="9">
        <v>16</v>
      </c>
      <c r="E176" s="9" t="s">
        <v>13</v>
      </c>
      <c r="F176" s="11" t="s">
        <v>33</v>
      </c>
    </row>
    <row r="177" spans="1:6" x14ac:dyDescent="0.3">
      <c r="A177" s="5">
        <v>1176</v>
      </c>
      <c r="B177" s="5" t="s">
        <v>15</v>
      </c>
      <c r="C177" s="12">
        <v>5346</v>
      </c>
      <c r="D177" s="5">
        <v>42</v>
      </c>
      <c r="E177" s="5" t="s">
        <v>27</v>
      </c>
      <c r="F177" s="4" t="s">
        <v>20</v>
      </c>
    </row>
    <row r="178" spans="1:6" x14ac:dyDescent="0.3">
      <c r="A178" s="9">
        <v>1177</v>
      </c>
      <c r="B178" s="9" t="s">
        <v>31</v>
      </c>
      <c r="C178" s="10">
        <v>98361</v>
      </c>
      <c r="D178" s="9">
        <v>29</v>
      </c>
      <c r="E178" s="9" t="s">
        <v>10</v>
      </c>
      <c r="F178" s="11" t="s">
        <v>8</v>
      </c>
    </row>
    <row r="179" spans="1:6" x14ac:dyDescent="0.3">
      <c r="A179" s="5">
        <v>1178</v>
      </c>
      <c r="B179" s="5" t="s">
        <v>18</v>
      </c>
      <c r="C179" s="12">
        <v>186909</v>
      </c>
      <c r="D179" s="5">
        <v>75</v>
      </c>
      <c r="E179" s="5" t="s">
        <v>13</v>
      </c>
      <c r="F179" s="4" t="s">
        <v>14</v>
      </c>
    </row>
    <row r="180" spans="1:6" x14ac:dyDescent="0.3">
      <c r="A180" s="9">
        <v>1179</v>
      </c>
      <c r="B180" s="9" t="s">
        <v>24</v>
      </c>
      <c r="C180" s="10">
        <v>25074</v>
      </c>
      <c r="D180" s="9">
        <v>96</v>
      </c>
      <c r="E180" s="9" t="s">
        <v>26</v>
      </c>
      <c r="F180" s="11" t="s">
        <v>20</v>
      </c>
    </row>
    <row r="181" spans="1:6" x14ac:dyDescent="0.3">
      <c r="A181" s="5">
        <v>1180</v>
      </c>
      <c r="B181" s="5" t="s">
        <v>25</v>
      </c>
      <c r="C181" s="12">
        <v>160032</v>
      </c>
      <c r="D181" s="5">
        <v>100</v>
      </c>
      <c r="E181" s="5" t="s">
        <v>10</v>
      </c>
      <c r="F181" s="4" t="s">
        <v>33</v>
      </c>
    </row>
    <row r="182" spans="1:6" x14ac:dyDescent="0.3">
      <c r="A182" s="9">
        <v>1181</v>
      </c>
      <c r="B182" s="9" t="s">
        <v>31</v>
      </c>
      <c r="C182" s="10">
        <v>51138</v>
      </c>
      <c r="D182" s="9">
        <v>29</v>
      </c>
      <c r="E182" s="9" t="s">
        <v>27</v>
      </c>
      <c r="F182" s="11" t="s">
        <v>14</v>
      </c>
    </row>
    <row r="183" spans="1:6" x14ac:dyDescent="0.3">
      <c r="A183" s="5">
        <v>1182</v>
      </c>
      <c r="B183" s="5" t="s">
        <v>25</v>
      </c>
      <c r="C183" s="12">
        <v>103881</v>
      </c>
      <c r="D183" s="5">
        <v>97</v>
      </c>
      <c r="E183" s="5" t="s">
        <v>10</v>
      </c>
      <c r="F183" s="4" t="s">
        <v>30</v>
      </c>
    </row>
    <row r="184" spans="1:6" x14ac:dyDescent="0.3">
      <c r="A184" s="9">
        <v>1183</v>
      </c>
      <c r="B184" s="9" t="s">
        <v>15</v>
      </c>
      <c r="C184" s="10">
        <v>188555</v>
      </c>
      <c r="D184" s="9">
        <v>86</v>
      </c>
      <c r="E184" s="9" t="s">
        <v>22</v>
      </c>
      <c r="F184" s="11" t="s">
        <v>33</v>
      </c>
    </row>
    <row r="185" spans="1:6" x14ac:dyDescent="0.3">
      <c r="A185" s="5">
        <v>1184</v>
      </c>
      <c r="B185" s="5" t="s">
        <v>25</v>
      </c>
      <c r="C185" s="12">
        <v>60508</v>
      </c>
      <c r="D185" s="5">
        <v>51</v>
      </c>
      <c r="E185" s="5" t="s">
        <v>10</v>
      </c>
      <c r="F185" s="4" t="s">
        <v>20</v>
      </c>
    </row>
    <row r="186" spans="1:6" x14ac:dyDescent="0.3">
      <c r="A186" s="9">
        <v>1185</v>
      </c>
      <c r="B186" s="9" t="s">
        <v>31</v>
      </c>
      <c r="C186" s="10">
        <v>199561</v>
      </c>
      <c r="D186" s="9">
        <v>30</v>
      </c>
      <c r="E186" s="9" t="s">
        <v>10</v>
      </c>
      <c r="F186" s="11" t="s">
        <v>11</v>
      </c>
    </row>
    <row r="187" spans="1:6" x14ac:dyDescent="0.3">
      <c r="A187" s="5">
        <v>1186</v>
      </c>
      <c r="B187" s="5" t="s">
        <v>18</v>
      </c>
      <c r="C187" s="12">
        <v>5263</v>
      </c>
      <c r="D187" s="5">
        <v>38</v>
      </c>
      <c r="E187" s="5" t="s">
        <v>19</v>
      </c>
      <c r="F187" s="4" t="s">
        <v>30</v>
      </c>
    </row>
    <row r="188" spans="1:6" x14ac:dyDescent="0.3">
      <c r="A188" s="9">
        <v>1187</v>
      </c>
      <c r="B188" s="9" t="s">
        <v>18</v>
      </c>
      <c r="C188" s="10">
        <v>86378</v>
      </c>
      <c r="D188" s="9">
        <v>52</v>
      </c>
      <c r="E188" s="9" t="s">
        <v>34</v>
      </c>
      <c r="F188" s="11" t="s">
        <v>11</v>
      </c>
    </row>
    <row r="189" spans="1:6" x14ac:dyDescent="0.3">
      <c r="A189" s="5">
        <v>1188</v>
      </c>
      <c r="B189" s="5" t="s">
        <v>9</v>
      </c>
      <c r="C189" s="12">
        <v>49078</v>
      </c>
      <c r="D189" s="5">
        <v>70</v>
      </c>
      <c r="E189" s="5" t="s">
        <v>34</v>
      </c>
      <c r="F189" s="4" t="s">
        <v>17</v>
      </c>
    </row>
    <row r="190" spans="1:6" x14ac:dyDescent="0.3">
      <c r="A190" s="9">
        <v>1189</v>
      </c>
      <c r="B190" s="9" t="s">
        <v>15</v>
      </c>
      <c r="C190" s="10">
        <v>145524</v>
      </c>
      <c r="D190" s="9">
        <v>79</v>
      </c>
      <c r="E190" s="9" t="s">
        <v>7</v>
      </c>
      <c r="F190" s="11" t="s">
        <v>17</v>
      </c>
    </row>
    <row r="191" spans="1:6" x14ac:dyDescent="0.3">
      <c r="A191" s="5">
        <v>1190</v>
      </c>
      <c r="B191" s="5" t="s">
        <v>28</v>
      </c>
      <c r="C191" s="12">
        <v>178886</v>
      </c>
      <c r="D191" s="5">
        <v>86</v>
      </c>
      <c r="E191" s="5" t="s">
        <v>26</v>
      </c>
      <c r="F191" s="4" t="s">
        <v>30</v>
      </c>
    </row>
    <row r="192" spans="1:6" x14ac:dyDescent="0.3">
      <c r="A192" s="9">
        <v>1191</v>
      </c>
      <c r="B192" s="9" t="s">
        <v>15</v>
      </c>
      <c r="C192" s="10">
        <v>133678</v>
      </c>
      <c r="D192" s="9">
        <v>45</v>
      </c>
      <c r="E192" s="9" t="s">
        <v>19</v>
      </c>
      <c r="F192" s="11" t="s">
        <v>14</v>
      </c>
    </row>
    <row r="193" spans="1:6" x14ac:dyDescent="0.3">
      <c r="A193" s="5">
        <v>1192</v>
      </c>
      <c r="B193" s="5" t="s">
        <v>24</v>
      </c>
      <c r="C193" s="12">
        <v>13858</v>
      </c>
      <c r="D193" s="5">
        <v>70</v>
      </c>
      <c r="E193" s="5" t="s">
        <v>34</v>
      </c>
      <c r="F193" s="4" t="s">
        <v>8</v>
      </c>
    </row>
    <row r="194" spans="1:6" x14ac:dyDescent="0.3">
      <c r="A194" s="9">
        <v>1193</v>
      </c>
      <c r="B194" s="9" t="s">
        <v>15</v>
      </c>
      <c r="C194" s="10">
        <v>185443</v>
      </c>
      <c r="D194" s="9">
        <v>47</v>
      </c>
      <c r="E194" s="9" t="s">
        <v>10</v>
      </c>
      <c r="F194" s="11" t="s">
        <v>17</v>
      </c>
    </row>
    <row r="195" spans="1:6" x14ac:dyDescent="0.3">
      <c r="A195" s="5">
        <v>1194</v>
      </c>
      <c r="B195" s="5" t="s">
        <v>18</v>
      </c>
      <c r="C195" s="12">
        <v>32131</v>
      </c>
      <c r="D195" s="5">
        <v>76</v>
      </c>
      <c r="E195" s="5" t="s">
        <v>26</v>
      </c>
      <c r="F195" s="4" t="s">
        <v>14</v>
      </c>
    </row>
    <row r="196" spans="1:6" x14ac:dyDescent="0.3">
      <c r="A196" s="9">
        <v>1195</v>
      </c>
      <c r="B196" s="9" t="s">
        <v>15</v>
      </c>
      <c r="C196" s="10">
        <v>160190</v>
      </c>
      <c r="D196" s="9">
        <v>48</v>
      </c>
      <c r="E196" s="9" t="s">
        <v>16</v>
      </c>
      <c r="F196" s="11" t="s">
        <v>14</v>
      </c>
    </row>
    <row r="197" spans="1:6" x14ac:dyDescent="0.3">
      <c r="A197" s="5">
        <v>1196</v>
      </c>
      <c r="B197" s="5" t="s">
        <v>12</v>
      </c>
      <c r="C197" s="12">
        <v>6269</v>
      </c>
      <c r="D197" s="5">
        <v>52</v>
      </c>
      <c r="E197" s="5" t="s">
        <v>22</v>
      </c>
      <c r="F197" s="4" t="s">
        <v>29</v>
      </c>
    </row>
    <row r="198" spans="1:6" x14ac:dyDescent="0.3">
      <c r="A198" s="9">
        <v>1197</v>
      </c>
      <c r="B198" s="9" t="s">
        <v>31</v>
      </c>
      <c r="C198" s="10">
        <v>74596</v>
      </c>
      <c r="D198" s="9">
        <v>36</v>
      </c>
      <c r="E198" s="9" t="s">
        <v>19</v>
      </c>
      <c r="F198" s="11" t="s">
        <v>33</v>
      </c>
    </row>
    <row r="199" spans="1:6" x14ac:dyDescent="0.3">
      <c r="A199" s="5">
        <v>1198</v>
      </c>
      <c r="B199" s="5" t="s">
        <v>18</v>
      </c>
      <c r="C199" s="12">
        <v>53249</v>
      </c>
      <c r="D199" s="5">
        <v>70</v>
      </c>
      <c r="E199" s="5" t="s">
        <v>16</v>
      </c>
      <c r="F199" s="4" t="s">
        <v>17</v>
      </c>
    </row>
    <row r="200" spans="1:6" x14ac:dyDescent="0.3">
      <c r="A200" s="9">
        <v>1199</v>
      </c>
      <c r="B200" s="9" t="s">
        <v>9</v>
      </c>
      <c r="C200" s="10">
        <v>135523</v>
      </c>
      <c r="D200" s="9">
        <v>76</v>
      </c>
      <c r="E200" s="9" t="s">
        <v>27</v>
      </c>
      <c r="F200" s="11" t="s">
        <v>11</v>
      </c>
    </row>
    <row r="201" spans="1:6" x14ac:dyDescent="0.3">
      <c r="A201" s="5">
        <v>1200</v>
      </c>
      <c r="B201" s="5" t="s">
        <v>21</v>
      </c>
      <c r="C201" s="12">
        <v>23253</v>
      </c>
      <c r="D201" s="5">
        <v>27</v>
      </c>
      <c r="E201" s="5" t="s">
        <v>22</v>
      </c>
      <c r="F201" s="4" t="s">
        <v>33</v>
      </c>
    </row>
    <row r="202" spans="1:6" x14ac:dyDescent="0.3">
      <c r="A202" s="9">
        <v>1201</v>
      </c>
      <c r="B202" s="9" t="s">
        <v>28</v>
      </c>
      <c r="C202" s="10">
        <v>60582</v>
      </c>
      <c r="D202" s="9">
        <v>11</v>
      </c>
      <c r="E202" s="9" t="s">
        <v>16</v>
      </c>
      <c r="F202" s="11" t="s">
        <v>33</v>
      </c>
    </row>
    <row r="203" spans="1:6" x14ac:dyDescent="0.3">
      <c r="A203" s="5">
        <v>1202</v>
      </c>
      <c r="B203" s="5" t="s">
        <v>21</v>
      </c>
      <c r="C203" s="12">
        <v>160098</v>
      </c>
      <c r="D203" s="5">
        <v>63</v>
      </c>
      <c r="E203" s="5" t="s">
        <v>19</v>
      </c>
      <c r="F203" s="4" t="s">
        <v>17</v>
      </c>
    </row>
    <row r="204" spans="1:6" x14ac:dyDescent="0.3">
      <c r="A204" s="9">
        <v>1203</v>
      </c>
      <c r="B204" s="9" t="s">
        <v>31</v>
      </c>
      <c r="C204" s="10">
        <v>134038</v>
      </c>
      <c r="D204" s="9">
        <v>29</v>
      </c>
      <c r="E204" s="9" t="s">
        <v>34</v>
      </c>
      <c r="F204" s="11" t="s">
        <v>11</v>
      </c>
    </row>
    <row r="205" spans="1:6" x14ac:dyDescent="0.3">
      <c r="A205" s="5">
        <v>1204</v>
      </c>
      <c r="B205" s="5" t="s">
        <v>9</v>
      </c>
      <c r="C205" s="12">
        <v>115574</v>
      </c>
      <c r="D205" s="5">
        <v>5</v>
      </c>
      <c r="E205" s="5" t="s">
        <v>19</v>
      </c>
      <c r="F205" s="4" t="s">
        <v>33</v>
      </c>
    </row>
    <row r="206" spans="1:6" x14ac:dyDescent="0.3">
      <c r="A206" s="9">
        <v>1205</v>
      </c>
      <c r="B206" s="9" t="s">
        <v>9</v>
      </c>
      <c r="C206" s="10">
        <v>120232</v>
      </c>
      <c r="D206" s="9">
        <v>77</v>
      </c>
      <c r="E206" s="9" t="s">
        <v>16</v>
      </c>
      <c r="F206" s="11" t="s">
        <v>20</v>
      </c>
    </row>
    <row r="207" spans="1:6" x14ac:dyDescent="0.3">
      <c r="A207" s="5">
        <v>1206</v>
      </c>
      <c r="B207" s="5" t="s">
        <v>21</v>
      </c>
      <c r="C207" s="12">
        <v>95551</v>
      </c>
      <c r="D207" s="5">
        <v>77</v>
      </c>
      <c r="E207" s="5" t="s">
        <v>10</v>
      </c>
      <c r="F207" s="4" t="s">
        <v>20</v>
      </c>
    </row>
    <row r="208" spans="1:6" x14ac:dyDescent="0.3">
      <c r="A208" s="9">
        <v>1207</v>
      </c>
      <c r="B208" s="9" t="s">
        <v>6</v>
      </c>
      <c r="C208" s="10">
        <v>29192</v>
      </c>
      <c r="D208" s="9">
        <v>78</v>
      </c>
      <c r="E208" s="9" t="s">
        <v>7</v>
      </c>
      <c r="F208" s="11" t="s">
        <v>23</v>
      </c>
    </row>
    <row r="209" spans="1:6" x14ac:dyDescent="0.3">
      <c r="A209" s="5">
        <v>1208</v>
      </c>
      <c r="B209" s="5" t="s">
        <v>18</v>
      </c>
      <c r="C209" s="12">
        <v>169217</v>
      </c>
      <c r="D209" s="5">
        <v>92</v>
      </c>
      <c r="E209" s="5" t="s">
        <v>10</v>
      </c>
      <c r="F209" s="4" t="s">
        <v>32</v>
      </c>
    </row>
    <row r="210" spans="1:6" x14ac:dyDescent="0.3">
      <c r="A210" s="9">
        <v>1209</v>
      </c>
      <c r="B210" s="9" t="s">
        <v>9</v>
      </c>
      <c r="C210" s="10">
        <v>174081</v>
      </c>
      <c r="D210" s="9">
        <v>98</v>
      </c>
      <c r="E210" s="9" t="s">
        <v>16</v>
      </c>
      <c r="F210" s="11" t="s">
        <v>30</v>
      </c>
    </row>
    <row r="211" spans="1:6" x14ac:dyDescent="0.3">
      <c r="A211" s="5">
        <v>1210</v>
      </c>
      <c r="B211" s="5" t="s">
        <v>24</v>
      </c>
      <c r="C211" s="12">
        <v>75650</v>
      </c>
      <c r="D211" s="5">
        <v>93</v>
      </c>
      <c r="E211" s="5" t="s">
        <v>10</v>
      </c>
      <c r="F211" s="4" t="s">
        <v>30</v>
      </c>
    </row>
    <row r="212" spans="1:6" x14ac:dyDescent="0.3">
      <c r="A212" s="9">
        <v>1211</v>
      </c>
      <c r="B212" s="9" t="s">
        <v>31</v>
      </c>
      <c r="C212" s="10">
        <v>64521</v>
      </c>
      <c r="D212" s="9">
        <v>87</v>
      </c>
      <c r="E212" s="9" t="s">
        <v>16</v>
      </c>
      <c r="F212" s="11" t="s">
        <v>32</v>
      </c>
    </row>
    <row r="213" spans="1:6" x14ac:dyDescent="0.3">
      <c r="A213" s="5">
        <v>1212</v>
      </c>
      <c r="B213" s="5" t="s">
        <v>28</v>
      </c>
      <c r="C213" s="12">
        <v>133814</v>
      </c>
      <c r="D213" s="5">
        <v>83</v>
      </c>
      <c r="E213" s="5" t="s">
        <v>16</v>
      </c>
      <c r="F213" s="4" t="s">
        <v>20</v>
      </c>
    </row>
    <row r="214" spans="1:6" x14ac:dyDescent="0.3">
      <c r="A214" s="9">
        <v>1213</v>
      </c>
      <c r="B214" s="9" t="s">
        <v>9</v>
      </c>
      <c r="C214" s="10">
        <v>48833</v>
      </c>
      <c r="D214" s="9">
        <v>99</v>
      </c>
      <c r="E214" s="9" t="s">
        <v>10</v>
      </c>
      <c r="F214" s="11" t="s">
        <v>23</v>
      </c>
    </row>
    <row r="215" spans="1:6" x14ac:dyDescent="0.3">
      <c r="A215" s="5">
        <v>1214</v>
      </c>
      <c r="B215" s="5" t="s">
        <v>6</v>
      </c>
      <c r="C215" s="12">
        <v>154624</v>
      </c>
      <c r="D215" s="5">
        <v>40</v>
      </c>
      <c r="E215" s="5" t="s">
        <v>26</v>
      </c>
      <c r="F215" s="4" t="s">
        <v>20</v>
      </c>
    </row>
    <row r="216" spans="1:6" x14ac:dyDescent="0.3">
      <c r="A216" s="9">
        <v>1215</v>
      </c>
      <c r="B216" s="9" t="s">
        <v>9</v>
      </c>
      <c r="C216" s="10">
        <v>124644</v>
      </c>
      <c r="D216" s="9">
        <v>40</v>
      </c>
      <c r="E216" s="9" t="s">
        <v>16</v>
      </c>
      <c r="F216" s="11" t="s">
        <v>20</v>
      </c>
    </row>
    <row r="217" spans="1:6" x14ac:dyDescent="0.3">
      <c r="A217" s="5">
        <v>1216</v>
      </c>
      <c r="B217" s="5" t="s">
        <v>9</v>
      </c>
      <c r="C217" s="12">
        <v>84217</v>
      </c>
      <c r="D217" s="5">
        <v>93</v>
      </c>
      <c r="E217" s="5" t="s">
        <v>26</v>
      </c>
      <c r="F217" s="4" t="s">
        <v>30</v>
      </c>
    </row>
    <row r="218" spans="1:6" x14ac:dyDescent="0.3">
      <c r="A218" s="9">
        <v>1217</v>
      </c>
      <c r="B218" s="9" t="s">
        <v>31</v>
      </c>
      <c r="C218" s="10">
        <v>157787</v>
      </c>
      <c r="D218" s="9">
        <v>33</v>
      </c>
      <c r="E218" s="9" t="s">
        <v>26</v>
      </c>
      <c r="F218" s="11" t="s">
        <v>20</v>
      </c>
    </row>
    <row r="219" spans="1:6" x14ac:dyDescent="0.3">
      <c r="A219" s="5">
        <v>1218</v>
      </c>
      <c r="B219" s="5" t="s">
        <v>15</v>
      </c>
      <c r="C219" s="12">
        <v>101219</v>
      </c>
      <c r="D219" s="5">
        <v>66</v>
      </c>
      <c r="E219" s="5" t="s">
        <v>13</v>
      </c>
      <c r="F219" s="4" t="s">
        <v>33</v>
      </c>
    </row>
    <row r="220" spans="1:6" x14ac:dyDescent="0.3">
      <c r="A220" s="9">
        <v>1219</v>
      </c>
      <c r="B220" s="9" t="s">
        <v>15</v>
      </c>
      <c r="C220" s="10">
        <v>78429</v>
      </c>
      <c r="D220" s="9">
        <v>96</v>
      </c>
      <c r="E220" s="9" t="s">
        <v>7</v>
      </c>
      <c r="F220" s="11" t="s">
        <v>20</v>
      </c>
    </row>
    <row r="221" spans="1:6" x14ac:dyDescent="0.3">
      <c r="A221" s="5">
        <v>1220</v>
      </c>
      <c r="B221" s="5" t="s">
        <v>6</v>
      </c>
      <c r="C221" s="12">
        <v>139122</v>
      </c>
      <c r="D221" s="5">
        <v>75</v>
      </c>
      <c r="E221" s="5" t="s">
        <v>34</v>
      </c>
      <c r="F221" s="4" t="s">
        <v>8</v>
      </c>
    </row>
    <row r="222" spans="1:6" x14ac:dyDescent="0.3">
      <c r="A222" s="9">
        <v>1221</v>
      </c>
      <c r="B222" s="9" t="s">
        <v>31</v>
      </c>
      <c r="C222" s="10">
        <v>115913</v>
      </c>
      <c r="D222" s="9">
        <v>89</v>
      </c>
      <c r="E222" s="9" t="s">
        <v>16</v>
      </c>
      <c r="F222" s="11" t="s">
        <v>23</v>
      </c>
    </row>
    <row r="223" spans="1:6" x14ac:dyDescent="0.3">
      <c r="A223" s="5">
        <v>1222</v>
      </c>
      <c r="B223" s="5" t="s">
        <v>9</v>
      </c>
      <c r="C223" s="12">
        <v>147552</v>
      </c>
      <c r="D223" s="5">
        <v>57</v>
      </c>
      <c r="E223" s="5" t="s">
        <v>22</v>
      </c>
      <c r="F223" s="4" t="s">
        <v>14</v>
      </c>
    </row>
    <row r="224" spans="1:6" x14ac:dyDescent="0.3">
      <c r="A224" s="9">
        <v>1223</v>
      </c>
      <c r="B224" s="9" t="s">
        <v>12</v>
      </c>
      <c r="C224" s="10">
        <v>7053</v>
      </c>
      <c r="D224" s="9">
        <v>50</v>
      </c>
      <c r="E224" s="9" t="s">
        <v>16</v>
      </c>
      <c r="F224" s="11" t="s">
        <v>29</v>
      </c>
    </row>
    <row r="225" spans="1:6" x14ac:dyDescent="0.3">
      <c r="A225" s="5">
        <v>1224</v>
      </c>
      <c r="B225" s="5" t="s">
        <v>12</v>
      </c>
      <c r="C225" s="12">
        <v>133967</v>
      </c>
      <c r="D225" s="5">
        <v>32</v>
      </c>
      <c r="E225" s="5" t="s">
        <v>16</v>
      </c>
      <c r="F225" s="4" t="s">
        <v>14</v>
      </c>
    </row>
    <row r="226" spans="1:6" x14ac:dyDescent="0.3">
      <c r="A226" s="9">
        <v>1225</v>
      </c>
      <c r="B226" s="9" t="s">
        <v>6</v>
      </c>
      <c r="C226" s="10">
        <v>114096</v>
      </c>
      <c r="D226" s="9">
        <v>67</v>
      </c>
      <c r="E226" s="9" t="s">
        <v>22</v>
      </c>
      <c r="F226" s="11" t="s">
        <v>29</v>
      </c>
    </row>
    <row r="227" spans="1:6" x14ac:dyDescent="0.3">
      <c r="A227" s="5">
        <v>1226</v>
      </c>
      <c r="B227" s="5" t="s">
        <v>6</v>
      </c>
      <c r="C227" s="12">
        <v>162657</v>
      </c>
      <c r="D227" s="5">
        <v>71</v>
      </c>
      <c r="E227" s="5" t="s">
        <v>26</v>
      </c>
      <c r="F227" s="4" t="s">
        <v>30</v>
      </c>
    </row>
    <row r="228" spans="1:6" x14ac:dyDescent="0.3">
      <c r="A228" s="9">
        <v>1227</v>
      </c>
      <c r="B228" s="9" t="s">
        <v>28</v>
      </c>
      <c r="C228" s="10">
        <v>138784</v>
      </c>
      <c r="D228" s="9">
        <v>6</v>
      </c>
      <c r="E228" s="9" t="s">
        <v>7</v>
      </c>
      <c r="F228" s="11" t="s">
        <v>23</v>
      </c>
    </row>
    <row r="229" spans="1:6" x14ac:dyDescent="0.3">
      <c r="A229" s="5">
        <v>1228</v>
      </c>
      <c r="B229" s="5" t="s">
        <v>25</v>
      </c>
      <c r="C229" s="12">
        <v>106804</v>
      </c>
      <c r="D229" s="5">
        <v>7</v>
      </c>
      <c r="E229" s="5" t="s">
        <v>10</v>
      </c>
      <c r="F229" s="4" t="s">
        <v>29</v>
      </c>
    </row>
    <row r="230" spans="1:6" x14ac:dyDescent="0.3">
      <c r="A230" s="9">
        <v>1229</v>
      </c>
      <c r="B230" s="9" t="s">
        <v>25</v>
      </c>
      <c r="C230" s="10">
        <v>84848</v>
      </c>
      <c r="D230" s="9">
        <v>52</v>
      </c>
      <c r="E230" s="9" t="s">
        <v>26</v>
      </c>
      <c r="F230" s="11" t="s">
        <v>32</v>
      </c>
    </row>
    <row r="231" spans="1:6" x14ac:dyDescent="0.3">
      <c r="A231" s="5">
        <v>1230</v>
      </c>
      <c r="B231" s="5" t="s">
        <v>21</v>
      </c>
      <c r="C231" s="12">
        <v>157015</v>
      </c>
      <c r="D231" s="5">
        <v>57</v>
      </c>
      <c r="E231" s="5" t="s">
        <v>27</v>
      </c>
      <c r="F231" s="4" t="s">
        <v>30</v>
      </c>
    </row>
    <row r="232" spans="1:6" x14ac:dyDescent="0.3">
      <c r="A232" s="9">
        <v>1231</v>
      </c>
      <c r="B232" s="9" t="s">
        <v>28</v>
      </c>
      <c r="C232" s="10">
        <v>48803</v>
      </c>
      <c r="D232" s="9">
        <v>89</v>
      </c>
      <c r="E232" s="9" t="s">
        <v>27</v>
      </c>
      <c r="F232" s="11" t="s">
        <v>20</v>
      </c>
    </row>
    <row r="233" spans="1:6" x14ac:dyDescent="0.3">
      <c r="A233" s="5">
        <v>1232</v>
      </c>
      <c r="B233" s="5" t="s">
        <v>6</v>
      </c>
      <c r="C233" s="12">
        <v>67472</v>
      </c>
      <c r="D233" s="5">
        <v>7</v>
      </c>
      <c r="E233" s="5" t="s">
        <v>19</v>
      </c>
      <c r="F233" s="4" t="s">
        <v>30</v>
      </c>
    </row>
    <row r="234" spans="1:6" x14ac:dyDescent="0.3">
      <c r="A234" s="9">
        <v>1233</v>
      </c>
      <c r="B234" s="9" t="s">
        <v>28</v>
      </c>
      <c r="C234" s="10">
        <v>87234</v>
      </c>
      <c r="D234" s="9">
        <v>79</v>
      </c>
      <c r="E234" s="9" t="s">
        <v>19</v>
      </c>
      <c r="F234" s="11" t="s">
        <v>14</v>
      </c>
    </row>
    <row r="235" spans="1:6" x14ac:dyDescent="0.3">
      <c r="A235" s="5">
        <v>1234</v>
      </c>
      <c r="B235" s="5" t="s">
        <v>9</v>
      </c>
      <c r="C235" s="12">
        <v>3729</v>
      </c>
      <c r="D235" s="5">
        <v>7</v>
      </c>
      <c r="E235" s="5" t="s">
        <v>26</v>
      </c>
      <c r="F235" s="4" t="s">
        <v>32</v>
      </c>
    </row>
    <row r="236" spans="1:6" x14ac:dyDescent="0.3">
      <c r="A236" s="9">
        <v>1235</v>
      </c>
      <c r="B236" s="9" t="s">
        <v>21</v>
      </c>
      <c r="C236" s="10">
        <v>175425</v>
      </c>
      <c r="D236" s="9">
        <v>91</v>
      </c>
      <c r="E236" s="9" t="s">
        <v>27</v>
      </c>
      <c r="F236" s="11" t="s">
        <v>29</v>
      </c>
    </row>
    <row r="237" spans="1:6" x14ac:dyDescent="0.3">
      <c r="A237" s="5">
        <v>1236</v>
      </c>
      <c r="B237" s="5" t="s">
        <v>28</v>
      </c>
      <c r="C237" s="12">
        <v>83623</v>
      </c>
      <c r="D237" s="5">
        <v>100</v>
      </c>
      <c r="E237" s="5" t="s">
        <v>26</v>
      </c>
      <c r="F237" s="4" t="s">
        <v>33</v>
      </c>
    </row>
    <row r="238" spans="1:6" x14ac:dyDescent="0.3">
      <c r="A238" s="9">
        <v>1237</v>
      </c>
      <c r="B238" s="9" t="s">
        <v>12</v>
      </c>
      <c r="C238" s="10">
        <v>37746</v>
      </c>
      <c r="D238" s="9">
        <v>5</v>
      </c>
      <c r="E238" s="9" t="s">
        <v>19</v>
      </c>
      <c r="F238" s="11" t="s">
        <v>29</v>
      </c>
    </row>
    <row r="239" spans="1:6" x14ac:dyDescent="0.3">
      <c r="A239" s="5">
        <v>1238</v>
      </c>
      <c r="B239" s="5" t="s">
        <v>6</v>
      </c>
      <c r="C239" s="12">
        <v>85123</v>
      </c>
      <c r="D239" s="5">
        <v>87</v>
      </c>
      <c r="E239" s="5" t="s">
        <v>34</v>
      </c>
      <c r="F239" s="4" t="s">
        <v>29</v>
      </c>
    </row>
    <row r="240" spans="1:6" x14ac:dyDescent="0.3">
      <c r="A240" s="9">
        <v>1239</v>
      </c>
      <c r="B240" s="9" t="s">
        <v>6</v>
      </c>
      <c r="C240" s="10">
        <v>62610</v>
      </c>
      <c r="D240" s="9">
        <v>25</v>
      </c>
      <c r="E240" s="9" t="s">
        <v>26</v>
      </c>
      <c r="F240" s="11" t="s">
        <v>23</v>
      </c>
    </row>
    <row r="241" spans="1:6" x14ac:dyDescent="0.3">
      <c r="A241" s="5">
        <v>1240</v>
      </c>
      <c r="B241" s="5" t="s">
        <v>21</v>
      </c>
      <c r="C241" s="12">
        <v>122102</v>
      </c>
      <c r="D241" s="5">
        <v>8</v>
      </c>
      <c r="E241" s="5" t="s">
        <v>13</v>
      </c>
      <c r="F241" s="4" t="s">
        <v>33</v>
      </c>
    </row>
    <row r="242" spans="1:6" x14ac:dyDescent="0.3">
      <c r="A242" s="9">
        <v>1241</v>
      </c>
      <c r="B242" s="9" t="s">
        <v>15</v>
      </c>
      <c r="C242" s="10">
        <v>27663</v>
      </c>
      <c r="D242" s="9">
        <v>23</v>
      </c>
      <c r="E242" s="9" t="s">
        <v>22</v>
      </c>
      <c r="F242" s="11" t="s">
        <v>17</v>
      </c>
    </row>
    <row r="243" spans="1:6" x14ac:dyDescent="0.3">
      <c r="A243" s="5">
        <v>1242</v>
      </c>
      <c r="B243" s="5" t="s">
        <v>31</v>
      </c>
      <c r="C243" s="12">
        <v>127482</v>
      </c>
      <c r="D243" s="5">
        <v>7</v>
      </c>
      <c r="E243" s="5" t="s">
        <v>34</v>
      </c>
      <c r="F243" s="4" t="s">
        <v>29</v>
      </c>
    </row>
    <row r="244" spans="1:6" x14ac:dyDescent="0.3">
      <c r="A244" s="9">
        <v>1243</v>
      </c>
      <c r="B244" s="9" t="s">
        <v>25</v>
      </c>
      <c r="C244" s="10">
        <v>28004</v>
      </c>
      <c r="D244" s="9">
        <v>20</v>
      </c>
      <c r="E244" s="9" t="s">
        <v>13</v>
      </c>
      <c r="F244" s="11" t="s">
        <v>17</v>
      </c>
    </row>
    <row r="245" spans="1:6" x14ac:dyDescent="0.3">
      <c r="A245" s="5">
        <v>1244</v>
      </c>
      <c r="B245" s="5" t="s">
        <v>28</v>
      </c>
      <c r="C245" s="12">
        <v>25224</v>
      </c>
      <c r="D245" s="5">
        <v>13</v>
      </c>
      <c r="E245" s="5" t="s">
        <v>26</v>
      </c>
      <c r="F245" s="4" t="s">
        <v>29</v>
      </c>
    </row>
    <row r="246" spans="1:6" x14ac:dyDescent="0.3">
      <c r="A246" s="9">
        <v>1245</v>
      </c>
      <c r="B246" s="9" t="s">
        <v>24</v>
      </c>
      <c r="C246" s="10">
        <v>130852</v>
      </c>
      <c r="D246" s="9">
        <v>68</v>
      </c>
      <c r="E246" s="9" t="s">
        <v>7</v>
      </c>
      <c r="F246" s="11" t="s">
        <v>29</v>
      </c>
    </row>
    <row r="247" spans="1:6" x14ac:dyDescent="0.3">
      <c r="A247" s="5">
        <v>1246</v>
      </c>
      <c r="B247" s="5" t="s">
        <v>6</v>
      </c>
      <c r="C247" s="12">
        <v>183088</v>
      </c>
      <c r="D247" s="5">
        <v>83</v>
      </c>
      <c r="E247" s="5" t="s">
        <v>22</v>
      </c>
      <c r="F247" s="4" t="s">
        <v>29</v>
      </c>
    </row>
    <row r="248" spans="1:6" x14ac:dyDescent="0.3">
      <c r="A248" s="9">
        <v>1247</v>
      </c>
      <c r="B248" s="9" t="s">
        <v>15</v>
      </c>
      <c r="C248" s="10">
        <v>183238</v>
      </c>
      <c r="D248" s="9">
        <v>67</v>
      </c>
      <c r="E248" s="9" t="s">
        <v>19</v>
      </c>
      <c r="F248" s="11" t="s">
        <v>20</v>
      </c>
    </row>
    <row r="249" spans="1:6" x14ac:dyDescent="0.3">
      <c r="A249" s="5">
        <v>1248</v>
      </c>
      <c r="B249" s="5" t="s">
        <v>12</v>
      </c>
      <c r="C249" s="12">
        <v>106831</v>
      </c>
      <c r="D249" s="5">
        <v>19</v>
      </c>
      <c r="E249" s="5" t="s">
        <v>22</v>
      </c>
      <c r="F249" s="4" t="s">
        <v>33</v>
      </c>
    </row>
    <row r="250" spans="1:6" x14ac:dyDescent="0.3">
      <c r="A250" s="9">
        <v>1249</v>
      </c>
      <c r="B250" s="9" t="s">
        <v>24</v>
      </c>
      <c r="C250" s="10">
        <v>13858</v>
      </c>
      <c r="D250" s="9">
        <v>97</v>
      </c>
      <c r="E250" s="9" t="s">
        <v>13</v>
      </c>
      <c r="F250" s="11" t="s">
        <v>8</v>
      </c>
    </row>
    <row r="251" spans="1:6" x14ac:dyDescent="0.3">
      <c r="A251" s="5">
        <v>1250</v>
      </c>
      <c r="B251" s="5" t="s">
        <v>21</v>
      </c>
      <c r="C251" s="12">
        <v>133667</v>
      </c>
      <c r="D251" s="5">
        <v>75</v>
      </c>
      <c r="E251" s="5" t="s">
        <v>16</v>
      </c>
      <c r="F251" s="4" t="s">
        <v>14</v>
      </c>
    </row>
    <row r="252" spans="1:6" x14ac:dyDescent="0.3">
      <c r="A252" s="9">
        <v>1251</v>
      </c>
      <c r="B252" s="9" t="s">
        <v>28</v>
      </c>
      <c r="C252" s="10">
        <v>159182</v>
      </c>
      <c r="D252" s="9">
        <v>26</v>
      </c>
      <c r="E252" s="9" t="s">
        <v>22</v>
      </c>
      <c r="F252" s="11" t="s">
        <v>20</v>
      </c>
    </row>
    <row r="253" spans="1:6" x14ac:dyDescent="0.3">
      <c r="A253" s="5">
        <v>1252</v>
      </c>
      <c r="B253" s="5" t="s">
        <v>24</v>
      </c>
      <c r="C253" s="12">
        <v>93066</v>
      </c>
      <c r="D253" s="5">
        <v>99</v>
      </c>
      <c r="E253" s="5" t="s">
        <v>26</v>
      </c>
      <c r="F253" s="4" t="s">
        <v>20</v>
      </c>
    </row>
    <row r="254" spans="1:6" x14ac:dyDescent="0.3">
      <c r="A254" s="9">
        <v>1253</v>
      </c>
      <c r="B254" s="9" t="s">
        <v>6</v>
      </c>
      <c r="C254" s="10">
        <v>188272</v>
      </c>
      <c r="D254" s="9">
        <v>17</v>
      </c>
      <c r="E254" s="9" t="s">
        <v>10</v>
      </c>
      <c r="F254" s="11" t="s">
        <v>20</v>
      </c>
    </row>
    <row r="255" spans="1:6" x14ac:dyDescent="0.3">
      <c r="A255" s="5">
        <v>1254</v>
      </c>
      <c r="B255" s="5" t="s">
        <v>18</v>
      </c>
      <c r="C255" s="12">
        <v>139693</v>
      </c>
      <c r="D255" s="5">
        <v>94</v>
      </c>
      <c r="E255" s="5" t="s">
        <v>26</v>
      </c>
      <c r="F255" s="4" t="s">
        <v>8</v>
      </c>
    </row>
    <row r="256" spans="1:6" x14ac:dyDescent="0.3">
      <c r="A256" s="9">
        <v>1255</v>
      </c>
      <c r="B256" s="9" t="s">
        <v>9</v>
      </c>
      <c r="C256" s="10">
        <v>13222</v>
      </c>
      <c r="D256" s="9">
        <v>35</v>
      </c>
      <c r="E256" s="9" t="s">
        <v>16</v>
      </c>
      <c r="F256" s="11" t="s">
        <v>11</v>
      </c>
    </row>
    <row r="257" spans="1:6" x14ac:dyDescent="0.3">
      <c r="A257" s="5">
        <v>1256</v>
      </c>
      <c r="B257" s="5" t="s">
        <v>31</v>
      </c>
      <c r="C257" s="12">
        <v>94481</v>
      </c>
      <c r="D257" s="5">
        <v>68</v>
      </c>
      <c r="E257" s="5" t="s">
        <v>16</v>
      </c>
      <c r="F257" s="4" t="s">
        <v>11</v>
      </c>
    </row>
    <row r="258" spans="1:6" x14ac:dyDescent="0.3">
      <c r="A258" s="9">
        <v>1257</v>
      </c>
      <c r="B258" s="9" t="s">
        <v>18</v>
      </c>
      <c r="C258" s="10">
        <v>125678</v>
      </c>
      <c r="D258" s="9">
        <v>22</v>
      </c>
      <c r="E258" s="9" t="s">
        <v>19</v>
      </c>
      <c r="F258" s="11" t="s">
        <v>8</v>
      </c>
    </row>
    <row r="259" spans="1:6" x14ac:dyDescent="0.3">
      <c r="A259" s="5">
        <v>1258</v>
      </c>
      <c r="B259" s="5" t="s">
        <v>25</v>
      </c>
      <c r="C259" s="12">
        <v>77118</v>
      </c>
      <c r="D259" s="5">
        <v>13</v>
      </c>
      <c r="E259" s="5" t="s">
        <v>27</v>
      </c>
      <c r="F259" s="4" t="s">
        <v>23</v>
      </c>
    </row>
    <row r="260" spans="1:6" x14ac:dyDescent="0.3">
      <c r="A260" s="9">
        <v>1259</v>
      </c>
      <c r="B260" s="9" t="s">
        <v>28</v>
      </c>
      <c r="C260" s="10">
        <v>32576</v>
      </c>
      <c r="D260" s="9">
        <v>6</v>
      </c>
      <c r="E260" s="9" t="s">
        <v>27</v>
      </c>
      <c r="F260" s="11" t="s">
        <v>17</v>
      </c>
    </row>
    <row r="261" spans="1:6" x14ac:dyDescent="0.3">
      <c r="A261" s="5">
        <v>1260</v>
      </c>
      <c r="B261" s="5" t="s">
        <v>25</v>
      </c>
      <c r="C261" s="12">
        <v>24342</v>
      </c>
      <c r="D261" s="5">
        <v>59</v>
      </c>
      <c r="E261" s="5" t="s">
        <v>27</v>
      </c>
      <c r="F261" s="4" t="s">
        <v>30</v>
      </c>
    </row>
    <row r="262" spans="1:6" x14ac:dyDescent="0.3">
      <c r="A262" s="9">
        <v>1261</v>
      </c>
      <c r="B262" s="9" t="s">
        <v>9</v>
      </c>
      <c r="C262" s="10">
        <v>72347</v>
      </c>
      <c r="D262" s="9">
        <v>73</v>
      </c>
      <c r="E262" s="9" t="s">
        <v>26</v>
      </c>
      <c r="F262" s="11" t="s">
        <v>17</v>
      </c>
    </row>
    <row r="263" spans="1:6" x14ac:dyDescent="0.3">
      <c r="A263" s="5">
        <v>1262</v>
      </c>
      <c r="B263" s="5" t="s">
        <v>28</v>
      </c>
      <c r="C263" s="12">
        <v>37914</v>
      </c>
      <c r="D263" s="5">
        <v>23</v>
      </c>
      <c r="E263" s="5" t="s">
        <v>7</v>
      </c>
      <c r="F263" s="4" t="s">
        <v>17</v>
      </c>
    </row>
    <row r="264" spans="1:6" x14ac:dyDescent="0.3">
      <c r="A264" s="9">
        <v>1263</v>
      </c>
      <c r="B264" s="9" t="s">
        <v>28</v>
      </c>
      <c r="C264" s="10">
        <v>54858</v>
      </c>
      <c r="D264" s="9">
        <v>51</v>
      </c>
      <c r="E264" s="9" t="s">
        <v>22</v>
      </c>
      <c r="F264" s="11" t="s">
        <v>8</v>
      </c>
    </row>
    <row r="265" spans="1:6" x14ac:dyDescent="0.3">
      <c r="A265" s="5">
        <v>1264</v>
      </c>
      <c r="B265" s="5" t="s">
        <v>6</v>
      </c>
      <c r="C265" s="12">
        <v>41988</v>
      </c>
      <c r="D265" s="5">
        <v>99</v>
      </c>
      <c r="E265" s="5" t="s">
        <v>13</v>
      </c>
      <c r="F265" s="4" t="s">
        <v>32</v>
      </c>
    </row>
    <row r="266" spans="1:6" x14ac:dyDescent="0.3">
      <c r="A266" s="9">
        <v>1265</v>
      </c>
      <c r="B266" s="9" t="s">
        <v>25</v>
      </c>
      <c r="C266" s="10">
        <v>108470</v>
      </c>
      <c r="D266" s="9">
        <v>37</v>
      </c>
      <c r="E266" s="9" t="s">
        <v>16</v>
      </c>
      <c r="F266" s="11" t="s">
        <v>14</v>
      </c>
    </row>
    <row r="267" spans="1:6" x14ac:dyDescent="0.3">
      <c r="A267" s="5">
        <v>1266</v>
      </c>
      <c r="B267" s="5" t="s">
        <v>25</v>
      </c>
      <c r="C267" s="12">
        <v>144602</v>
      </c>
      <c r="D267" s="5">
        <v>59</v>
      </c>
      <c r="E267" s="5" t="s">
        <v>27</v>
      </c>
      <c r="F267" s="4" t="s">
        <v>8</v>
      </c>
    </row>
    <row r="268" spans="1:6" x14ac:dyDescent="0.3">
      <c r="A268" s="9">
        <v>1267</v>
      </c>
      <c r="B268" s="9" t="s">
        <v>25</v>
      </c>
      <c r="C268" s="10">
        <v>100026</v>
      </c>
      <c r="D268" s="9">
        <v>52</v>
      </c>
      <c r="E268" s="9" t="s">
        <v>26</v>
      </c>
      <c r="F268" s="11" t="s">
        <v>11</v>
      </c>
    </row>
    <row r="269" spans="1:6" x14ac:dyDescent="0.3">
      <c r="A269" s="5">
        <v>1268</v>
      </c>
      <c r="B269" s="5" t="s">
        <v>9</v>
      </c>
      <c r="C269" s="12">
        <v>109312</v>
      </c>
      <c r="D269" s="5">
        <v>76</v>
      </c>
      <c r="E269" s="5" t="s">
        <v>10</v>
      </c>
      <c r="F269" s="4" t="s">
        <v>14</v>
      </c>
    </row>
    <row r="270" spans="1:6" x14ac:dyDescent="0.3">
      <c r="A270" s="9">
        <v>1269</v>
      </c>
      <c r="B270" s="9" t="s">
        <v>24</v>
      </c>
      <c r="C270" s="10">
        <v>187210</v>
      </c>
      <c r="D270" s="9">
        <v>89</v>
      </c>
      <c r="E270" s="9" t="s">
        <v>16</v>
      </c>
      <c r="F270" s="11" t="s">
        <v>20</v>
      </c>
    </row>
    <row r="271" spans="1:6" x14ac:dyDescent="0.3">
      <c r="A271" s="5">
        <v>1270</v>
      </c>
      <c r="B271" s="5" t="s">
        <v>12</v>
      </c>
      <c r="C271" s="12">
        <v>57334</v>
      </c>
      <c r="D271" s="5">
        <v>29</v>
      </c>
      <c r="E271" s="5" t="s">
        <v>22</v>
      </c>
      <c r="F271" s="4" t="s">
        <v>17</v>
      </c>
    </row>
    <row r="272" spans="1:6" x14ac:dyDescent="0.3">
      <c r="A272" s="9">
        <v>1271</v>
      </c>
      <c r="B272" s="9" t="s">
        <v>31</v>
      </c>
      <c r="C272" s="10">
        <v>114711</v>
      </c>
      <c r="D272" s="9">
        <v>15</v>
      </c>
      <c r="E272" s="9" t="s">
        <v>10</v>
      </c>
      <c r="F272" s="11" t="s">
        <v>33</v>
      </c>
    </row>
    <row r="273" spans="1:6" x14ac:dyDescent="0.3">
      <c r="A273" s="5">
        <v>1272</v>
      </c>
      <c r="B273" s="5" t="s">
        <v>28</v>
      </c>
      <c r="C273" s="12">
        <v>187077</v>
      </c>
      <c r="D273" s="5">
        <v>99</v>
      </c>
      <c r="E273" s="5" t="s">
        <v>13</v>
      </c>
      <c r="F273" s="4" t="s">
        <v>30</v>
      </c>
    </row>
    <row r="274" spans="1:6" x14ac:dyDescent="0.3">
      <c r="A274" s="9">
        <v>1273</v>
      </c>
      <c r="B274" s="9" t="s">
        <v>12</v>
      </c>
      <c r="C274" s="10">
        <v>78607</v>
      </c>
      <c r="D274" s="9">
        <v>21</v>
      </c>
      <c r="E274" s="9" t="s">
        <v>10</v>
      </c>
      <c r="F274" s="11" t="s">
        <v>33</v>
      </c>
    </row>
    <row r="275" spans="1:6" x14ac:dyDescent="0.3">
      <c r="A275" s="5">
        <v>1274</v>
      </c>
      <c r="B275" s="5" t="s">
        <v>21</v>
      </c>
      <c r="C275" s="12">
        <v>11502</v>
      </c>
      <c r="D275" s="5">
        <v>66</v>
      </c>
      <c r="E275" s="5" t="s">
        <v>19</v>
      </c>
      <c r="F275" s="4" t="s">
        <v>11</v>
      </c>
    </row>
    <row r="276" spans="1:6" x14ac:dyDescent="0.3">
      <c r="A276" s="9">
        <v>1275</v>
      </c>
      <c r="B276" s="9" t="s">
        <v>21</v>
      </c>
      <c r="C276" s="10">
        <v>117932</v>
      </c>
      <c r="D276" s="9">
        <v>87</v>
      </c>
      <c r="E276" s="9" t="s">
        <v>7</v>
      </c>
      <c r="F276" s="11" t="s">
        <v>14</v>
      </c>
    </row>
    <row r="277" spans="1:6" x14ac:dyDescent="0.3">
      <c r="A277" s="5">
        <v>1276</v>
      </c>
      <c r="B277" s="5" t="s">
        <v>6</v>
      </c>
      <c r="C277" s="12">
        <v>50499</v>
      </c>
      <c r="D277" s="5">
        <v>36</v>
      </c>
      <c r="E277" s="5" t="s">
        <v>19</v>
      </c>
      <c r="F277" s="4" t="s">
        <v>29</v>
      </c>
    </row>
    <row r="278" spans="1:6" x14ac:dyDescent="0.3">
      <c r="A278" s="9">
        <v>1277</v>
      </c>
      <c r="B278" s="9" t="s">
        <v>12</v>
      </c>
      <c r="C278" s="10">
        <v>74652</v>
      </c>
      <c r="D278" s="9">
        <v>15</v>
      </c>
      <c r="E278" s="9" t="s">
        <v>19</v>
      </c>
      <c r="F278" s="11" t="s">
        <v>30</v>
      </c>
    </row>
    <row r="279" spans="1:6" x14ac:dyDescent="0.3">
      <c r="A279" s="5">
        <v>1278</v>
      </c>
      <c r="B279" s="5" t="s">
        <v>21</v>
      </c>
      <c r="C279" s="12">
        <v>189612</v>
      </c>
      <c r="D279" s="5">
        <v>12</v>
      </c>
      <c r="E279" s="5" t="s">
        <v>13</v>
      </c>
      <c r="F279" s="4" t="s">
        <v>32</v>
      </c>
    </row>
    <row r="280" spans="1:6" x14ac:dyDescent="0.3">
      <c r="A280" s="9">
        <v>1279</v>
      </c>
      <c r="B280" s="9" t="s">
        <v>15</v>
      </c>
      <c r="C280" s="10">
        <v>97504</v>
      </c>
      <c r="D280" s="9">
        <v>5</v>
      </c>
      <c r="E280" s="9" t="s">
        <v>7</v>
      </c>
      <c r="F280" s="11" t="s">
        <v>33</v>
      </c>
    </row>
    <row r="281" spans="1:6" x14ac:dyDescent="0.3">
      <c r="A281" s="5">
        <v>1280</v>
      </c>
      <c r="B281" s="5" t="s">
        <v>15</v>
      </c>
      <c r="C281" s="12">
        <v>185361</v>
      </c>
      <c r="D281" s="5">
        <v>91</v>
      </c>
      <c r="E281" s="5" t="s">
        <v>7</v>
      </c>
      <c r="F281" s="4" t="s">
        <v>20</v>
      </c>
    </row>
    <row r="282" spans="1:6" x14ac:dyDescent="0.3">
      <c r="A282" s="9">
        <v>1281</v>
      </c>
      <c r="B282" s="9" t="s">
        <v>12</v>
      </c>
      <c r="C282" s="10">
        <v>104909</v>
      </c>
      <c r="D282" s="9">
        <v>94</v>
      </c>
      <c r="E282" s="9" t="s">
        <v>19</v>
      </c>
      <c r="F282" s="11" t="s">
        <v>33</v>
      </c>
    </row>
    <row r="283" spans="1:6" x14ac:dyDescent="0.3">
      <c r="A283" s="5">
        <v>1282</v>
      </c>
      <c r="B283" s="5" t="s">
        <v>24</v>
      </c>
      <c r="C283" s="12">
        <v>52634</v>
      </c>
      <c r="D283" s="5">
        <v>26</v>
      </c>
      <c r="E283" s="5" t="s">
        <v>34</v>
      </c>
      <c r="F283" s="4" t="s">
        <v>33</v>
      </c>
    </row>
    <row r="284" spans="1:6" x14ac:dyDescent="0.3">
      <c r="A284" s="9">
        <v>1283</v>
      </c>
      <c r="B284" s="9" t="s">
        <v>18</v>
      </c>
      <c r="C284" s="10">
        <v>69263</v>
      </c>
      <c r="D284" s="9">
        <v>35</v>
      </c>
      <c r="E284" s="9" t="s">
        <v>34</v>
      </c>
      <c r="F284" s="11" t="s">
        <v>29</v>
      </c>
    </row>
    <row r="285" spans="1:6" x14ac:dyDescent="0.3">
      <c r="A285" s="5">
        <v>1284</v>
      </c>
      <c r="B285" s="5" t="s">
        <v>6</v>
      </c>
      <c r="C285" s="12">
        <v>121038</v>
      </c>
      <c r="D285" s="5">
        <v>49</v>
      </c>
      <c r="E285" s="5" t="s">
        <v>34</v>
      </c>
      <c r="F285" s="4" t="s">
        <v>8</v>
      </c>
    </row>
    <row r="286" spans="1:6" x14ac:dyDescent="0.3">
      <c r="A286" s="9">
        <v>1285</v>
      </c>
      <c r="B286" s="9" t="s">
        <v>9</v>
      </c>
      <c r="C286" s="10">
        <v>101107</v>
      </c>
      <c r="D286" s="9">
        <v>18</v>
      </c>
      <c r="E286" s="9" t="s">
        <v>22</v>
      </c>
      <c r="F286" s="11" t="s">
        <v>33</v>
      </c>
    </row>
    <row r="287" spans="1:6" x14ac:dyDescent="0.3">
      <c r="A287" s="5">
        <v>1286</v>
      </c>
      <c r="B287" s="5" t="s">
        <v>28</v>
      </c>
      <c r="C287" s="12">
        <v>185906</v>
      </c>
      <c r="D287" s="5">
        <v>53</v>
      </c>
      <c r="E287" s="5" t="s">
        <v>7</v>
      </c>
      <c r="F287" s="4" t="s">
        <v>20</v>
      </c>
    </row>
    <row r="288" spans="1:6" x14ac:dyDescent="0.3">
      <c r="A288" s="9">
        <v>1287</v>
      </c>
      <c r="B288" s="9" t="s">
        <v>18</v>
      </c>
      <c r="C288" s="10">
        <v>150184</v>
      </c>
      <c r="D288" s="9">
        <v>10</v>
      </c>
      <c r="E288" s="9" t="s">
        <v>10</v>
      </c>
      <c r="F288" s="11" t="s">
        <v>8</v>
      </c>
    </row>
    <row r="289" spans="1:6" x14ac:dyDescent="0.3">
      <c r="A289" s="5">
        <v>1288</v>
      </c>
      <c r="B289" s="5" t="s">
        <v>24</v>
      </c>
      <c r="C289" s="12">
        <v>113232</v>
      </c>
      <c r="D289" s="5">
        <v>62</v>
      </c>
      <c r="E289" s="5" t="s">
        <v>22</v>
      </c>
      <c r="F289" s="4" t="s">
        <v>17</v>
      </c>
    </row>
    <row r="290" spans="1:6" x14ac:dyDescent="0.3">
      <c r="A290" s="9">
        <v>1289</v>
      </c>
      <c r="B290" s="9" t="s">
        <v>9</v>
      </c>
      <c r="C290" s="10">
        <v>193361</v>
      </c>
      <c r="D290" s="9">
        <v>61</v>
      </c>
      <c r="E290" s="9" t="s">
        <v>10</v>
      </c>
      <c r="F290" s="11" t="s">
        <v>14</v>
      </c>
    </row>
    <row r="291" spans="1:6" x14ac:dyDescent="0.3">
      <c r="A291" s="5">
        <v>1290</v>
      </c>
      <c r="B291" s="5" t="s">
        <v>31</v>
      </c>
      <c r="C291" s="12">
        <v>157826</v>
      </c>
      <c r="D291" s="5">
        <v>22</v>
      </c>
      <c r="E291" s="5" t="s">
        <v>16</v>
      </c>
      <c r="F291" s="4" t="s">
        <v>33</v>
      </c>
    </row>
    <row r="292" spans="1:6" x14ac:dyDescent="0.3">
      <c r="A292" s="9">
        <v>1291</v>
      </c>
      <c r="B292" s="9" t="s">
        <v>18</v>
      </c>
      <c r="C292" s="10">
        <v>41041</v>
      </c>
      <c r="D292" s="9">
        <v>46</v>
      </c>
      <c r="E292" s="9" t="s">
        <v>13</v>
      </c>
      <c r="F292" s="11" t="s">
        <v>14</v>
      </c>
    </row>
    <row r="293" spans="1:6" x14ac:dyDescent="0.3">
      <c r="A293" s="5">
        <v>1292</v>
      </c>
      <c r="B293" s="5" t="s">
        <v>18</v>
      </c>
      <c r="C293" s="12">
        <v>44480</v>
      </c>
      <c r="D293" s="5">
        <v>70</v>
      </c>
      <c r="E293" s="5" t="s">
        <v>34</v>
      </c>
      <c r="F293" s="4" t="s">
        <v>32</v>
      </c>
    </row>
    <row r="294" spans="1:6" x14ac:dyDescent="0.3">
      <c r="A294" s="9">
        <v>1293</v>
      </c>
      <c r="B294" s="9" t="s">
        <v>25</v>
      </c>
      <c r="C294" s="10">
        <v>106234</v>
      </c>
      <c r="D294" s="9">
        <v>24</v>
      </c>
      <c r="E294" s="9" t="s">
        <v>13</v>
      </c>
      <c r="F294" s="11" t="s">
        <v>14</v>
      </c>
    </row>
    <row r="295" spans="1:6" x14ac:dyDescent="0.3">
      <c r="A295" s="5">
        <v>1294</v>
      </c>
      <c r="B295" s="5" t="s">
        <v>31</v>
      </c>
      <c r="C295" s="12">
        <v>4471</v>
      </c>
      <c r="D295" s="5">
        <v>8</v>
      </c>
      <c r="E295" s="5" t="s">
        <v>16</v>
      </c>
      <c r="F295" s="4" t="s">
        <v>23</v>
      </c>
    </row>
    <row r="296" spans="1:6" x14ac:dyDescent="0.3">
      <c r="A296" s="9">
        <v>1295</v>
      </c>
      <c r="B296" s="9" t="s">
        <v>21</v>
      </c>
      <c r="C296" s="10">
        <v>69628</v>
      </c>
      <c r="D296" s="9">
        <v>58</v>
      </c>
      <c r="E296" s="9" t="s">
        <v>7</v>
      </c>
      <c r="F296" s="11" t="s">
        <v>33</v>
      </c>
    </row>
    <row r="297" spans="1:6" x14ac:dyDescent="0.3">
      <c r="A297" s="5">
        <v>1296</v>
      </c>
      <c r="B297" s="5" t="s">
        <v>28</v>
      </c>
      <c r="C297" s="12">
        <v>27443</v>
      </c>
      <c r="D297" s="5">
        <v>9</v>
      </c>
      <c r="E297" s="5" t="s">
        <v>26</v>
      </c>
      <c r="F297" s="4" t="s">
        <v>20</v>
      </c>
    </row>
    <row r="298" spans="1:6" x14ac:dyDescent="0.3">
      <c r="A298" s="9">
        <v>1297</v>
      </c>
      <c r="B298" s="9" t="s">
        <v>24</v>
      </c>
      <c r="C298" s="10">
        <v>175379</v>
      </c>
      <c r="D298" s="9">
        <v>26</v>
      </c>
      <c r="E298" s="9" t="s">
        <v>34</v>
      </c>
      <c r="F298" s="11" t="s">
        <v>11</v>
      </c>
    </row>
    <row r="299" spans="1:6" x14ac:dyDescent="0.3">
      <c r="A299" s="5">
        <v>1298</v>
      </c>
      <c r="B299" s="5" t="s">
        <v>12</v>
      </c>
      <c r="C299" s="12">
        <v>146253</v>
      </c>
      <c r="D299" s="5">
        <v>58</v>
      </c>
      <c r="E299" s="5" t="s">
        <v>34</v>
      </c>
      <c r="F299" s="4" t="s">
        <v>32</v>
      </c>
    </row>
    <row r="300" spans="1:6" x14ac:dyDescent="0.3">
      <c r="A300" s="9">
        <v>1299</v>
      </c>
      <c r="B300" s="9" t="s">
        <v>6</v>
      </c>
      <c r="C300" s="10">
        <v>144839</v>
      </c>
      <c r="D300" s="9">
        <v>63</v>
      </c>
      <c r="E300" s="9" t="s">
        <v>13</v>
      </c>
      <c r="F300" s="11" t="s">
        <v>20</v>
      </c>
    </row>
    <row r="301" spans="1:6" x14ac:dyDescent="0.3">
      <c r="A301" s="5">
        <v>1300</v>
      </c>
      <c r="B301" s="5" t="s">
        <v>21</v>
      </c>
      <c r="C301" s="12">
        <v>193640</v>
      </c>
      <c r="D301" s="5">
        <v>57</v>
      </c>
      <c r="E301" s="5" t="s">
        <v>22</v>
      </c>
      <c r="F301" s="4" t="s">
        <v>14</v>
      </c>
    </row>
    <row r="302" spans="1:6" x14ac:dyDescent="0.3">
      <c r="A302" s="9">
        <v>1301</v>
      </c>
      <c r="B302" s="9" t="s">
        <v>9</v>
      </c>
      <c r="C302" s="10">
        <v>37784</v>
      </c>
      <c r="D302" s="9">
        <v>26</v>
      </c>
      <c r="E302" s="9" t="s">
        <v>10</v>
      </c>
      <c r="F302" s="11" t="s">
        <v>33</v>
      </c>
    </row>
    <row r="303" spans="1:6" x14ac:dyDescent="0.3">
      <c r="A303" s="5">
        <v>1302</v>
      </c>
      <c r="B303" s="5" t="s">
        <v>9</v>
      </c>
      <c r="C303" s="12">
        <v>143358</v>
      </c>
      <c r="D303" s="5">
        <v>25</v>
      </c>
      <c r="E303" s="5" t="s">
        <v>19</v>
      </c>
      <c r="F303" s="4" t="s">
        <v>14</v>
      </c>
    </row>
    <row r="304" spans="1:6" x14ac:dyDescent="0.3">
      <c r="A304" s="9">
        <v>1303</v>
      </c>
      <c r="B304" s="9" t="s">
        <v>25</v>
      </c>
      <c r="C304" s="10">
        <v>161812</v>
      </c>
      <c r="D304" s="9">
        <v>49</v>
      </c>
      <c r="E304" s="9" t="s">
        <v>10</v>
      </c>
      <c r="F304" s="11" t="s">
        <v>14</v>
      </c>
    </row>
    <row r="305" spans="1:6" x14ac:dyDescent="0.3">
      <c r="A305" s="5">
        <v>1304</v>
      </c>
      <c r="B305" s="5" t="s">
        <v>9</v>
      </c>
      <c r="C305" s="12">
        <v>197738</v>
      </c>
      <c r="D305" s="5">
        <v>66</v>
      </c>
      <c r="E305" s="5" t="s">
        <v>7</v>
      </c>
      <c r="F305" s="4" t="s">
        <v>32</v>
      </c>
    </row>
    <row r="306" spans="1:6" x14ac:dyDescent="0.3">
      <c r="A306" s="9">
        <v>1305</v>
      </c>
      <c r="B306" s="9" t="s">
        <v>24</v>
      </c>
      <c r="C306" s="10">
        <v>35201</v>
      </c>
      <c r="D306" s="9">
        <v>92</v>
      </c>
      <c r="E306" s="9" t="s">
        <v>22</v>
      </c>
      <c r="F306" s="11" t="s">
        <v>30</v>
      </c>
    </row>
    <row r="307" spans="1:6" x14ac:dyDescent="0.3">
      <c r="A307" s="5">
        <v>1306</v>
      </c>
      <c r="B307" s="5" t="s">
        <v>6</v>
      </c>
      <c r="C307" s="12">
        <v>179618</v>
      </c>
      <c r="D307" s="5">
        <v>34</v>
      </c>
      <c r="E307" s="5" t="s">
        <v>13</v>
      </c>
      <c r="F307" s="4" t="s">
        <v>29</v>
      </c>
    </row>
    <row r="308" spans="1:6" x14ac:dyDescent="0.3">
      <c r="A308" s="9">
        <v>1307</v>
      </c>
      <c r="B308" s="9" t="s">
        <v>24</v>
      </c>
      <c r="C308" s="10">
        <v>194343</v>
      </c>
      <c r="D308" s="9">
        <v>80</v>
      </c>
      <c r="E308" s="9" t="s">
        <v>22</v>
      </c>
      <c r="F308" s="11" t="s">
        <v>29</v>
      </c>
    </row>
    <row r="309" spans="1:6" x14ac:dyDescent="0.3">
      <c r="A309" s="5">
        <v>1308</v>
      </c>
      <c r="B309" s="5" t="s">
        <v>25</v>
      </c>
      <c r="C309" s="12">
        <v>65760</v>
      </c>
      <c r="D309" s="5">
        <v>50</v>
      </c>
      <c r="E309" s="5" t="s">
        <v>7</v>
      </c>
      <c r="F309" s="4" t="s">
        <v>14</v>
      </c>
    </row>
    <row r="310" spans="1:6" x14ac:dyDescent="0.3">
      <c r="A310" s="9">
        <v>1309</v>
      </c>
      <c r="B310" s="9" t="s">
        <v>12</v>
      </c>
      <c r="C310" s="10">
        <v>96976</v>
      </c>
      <c r="D310" s="9">
        <v>67</v>
      </c>
      <c r="E310" s="9" t="s">
        <v>13</v>
      </c>
      <c r="F310" s="11" t="s">
        <v>14</v>
      </c>
    </row>
    <row r="311" spans="1:6" x14ac:dyDescent="0.3">
      <c r="A311" s="5">
        <v>1310</v>
      </c>
      <c r="B311" s="5" t="s">
        <v>12</v>
      </c>
      <c r="C311" s="12">
        <v>60100</v>
      </c>
      <c r="D311" s="5">
        <v>67</v>
      </c>
      <c r="E311" s="5" t="s">
        <v>27</v>
      </c>
      <c r="F311" s="4" t="s">
        <v>8</v>
      </c>
    </row>
    <row r="312" spans="1:6" x14ac:dyDescent="0.3">
      <c r="A312" s="9">
        <v>1311</v>
      </c>
      <c r="B312" s="9" t="s">
        <v>9</v>
      </c>
      <c r="C312" s="10">
        <v>111556</v>
      </c>
      <c r="D312" s="9">
        <v>35</v>
      </c>
      <c r="E312" s="9" t="s">
        <v>27</v>
      </c>
      <c r="F312" s="11" t="s">
        <v>8</v>
      </c>
    </row>
    <row r="313" spans="1:6" x14ac:dyDescent="0.3">
      <c r="A313" s="5">
        <v>1312</v>
      </c>
      <c r="B313" s="5" t="s">
        <v>15</v>
      </c>
      <c r="C313" s="12">
        <v>159945</v>
      </c>
      <c r="D313" s="5">
        <v>76</v>
      </c>
      <c r="E313" s="5" t="s">
        <v>34</v>
      </c>
      <c r="F313" s="4" t="s">
        <v>11</v>
      </c>
    </row>
    <row r="314" spans="1:6" x14ac:dyDescent="0.3">
      <c r="A314" s="9">
        <v>1313</v>
      </c>
      <c r="B314" s="9" t="s">
        <v>25</v>
      </c>
      <c r="C314" s="10">
        <v>41642</v>
      </c>
      <c r="D314" s="9">
        <v>51</v>
      </c>
      <c r="E314" s="9" t="s">
        <v>34</v>
      </c>
      <c r="F314" s="11" t="s">
        <v>33</v>
      </c>
    </row>
    <row r="315" spans="1:6" x14ac:dyDescent="0.3">
      <c r="A315" s="5">
        <v>1314</v>
      </c>
      <c r="B315" s="5" t="s">
        <v>9</v>
      </c>
      <c r="C315" s="12">
        <v>23339</v>
      </c>
      <c r="D315" s="5">
        <v>92</v>
      </c>
      <c r="E315" s="5" t="s">
        <v>13</v>
      </c>
      <c r="F315" s="4" t="s">
        <v>8</v>
      </c>
    </row>
    <row r="316" spans="1:6" x14ac:dyDescent="0.3">
      <c r="A316" s="9">
        <v>1315</v>
      </c>
      <c r="B316" s="9" t="s">
        <v>6</v>
      </c>
      <c r="C316" s="10">
        <v>194119</v>
      </c>
      <c r="D316" s="9">
        <v>6</v>
      </c>
      <c r="E316" s="9" t="s">
        <v>27</v>
      </c>
      <c r="F316" s="11" t="s">
        <v>11</v>
      </c>
    </row>
    <row r="317" spans="1:6" x14ac:dyDescent="0.3">
      <c r="A317" s="5">
        <v>1316</v>
      </c>
      <c r="B317" s="5" t="s">
        <v>18</v>
      </c>
      <c r="C317" s="12">
        <v>41236</v>
      </c>
      <c r="D317" s="5">
        <v>13</v>
      </c>
      <c r="E317" s="5" t="s">
        <v>19</v>
      </c>
      <c r="F317" s="4" t="s">
        <v>32</v>
      </c>
    </row>
    <row r="318" spans="1:6" x14ac:dyDescent="0.3">
      <c r="A318" s="9">
        <v>1317</v>
      </c>
      <c r="B318" s="9" t="s">
        <v>25</v>
      </c>
      <c r="C318" s="10">
        <v>79843</v>
      </c>
      <c r="D318" s="9">
        <v>50</v>
      </c>
      <c r="E318" s="9" t="s">
        <v>19</v>
      </c>
      <c r="F318" s="11" t="s">
        <v>8</v>
      </c>
    </row>
    <row r="319" spans="1:6" x14ac:dyDescent="0.3">
      <c r="A319" s="5">
        <v>1318</v>
      </c>
      <c r="B319" s="5" t="s">
        <v>15</v>
      </c>
      <c r="C319" s="12">
        <v>165489</v>
      </c>
      <c r="D319" s="5">
        <v>24</v>
      </c>
      <c r="E319" s="5" t="s">
        <v>34</v>
      </c>
      <c r="F319" s="4" t="s">
        <v>33</v>
      </c>
    </row>
    <row r="320" spans="1:6" x14ac:dyDescent="0.3">
      <c r="A320" s="9">
        <v>1319</v>
      </c>
      <c r="B320" s="9" t="s">
        <v>24</v>
      </c>
      <c r="C320" s="10">
        <v>96246</v>
      </c>
      <c r="D320" s="9">
        <v>19</v>
      </c>
      <c r="E320" s="9" t="s">
        <v>16</v>
      </c>
      <c r="F320" s="11" t="s">
        <v>30</v>
      </c>
    </row>
    <row r="321" spans="1:6" x14ac:dyDescent="0.3">
      <c r="A321" s="5">
        <v>1320</v>
      </c>
      <c r="B321" s="5" t="s">
        <v>21</v>
      </c>
      <c r="C321" s="12">
        <v>7179</v>
      </c>
      <c r="D321" s="5">
        <v>34</v>
      </c>
      <c r="E321" s="5" t="s">
        <v>7</v>
      </c>
      <c r="F321" s="4" t="s">
        <v>8</v>
      </c>
    </row>
    <row r="322" spans="1:6" x14ac:dyDescent="0.3">
      <c r="A322" s="9">
        <v>1321</v>
      </c>
      <c r="B322" s="9" t="s">
        <v>18</v>
      </c>
      <c r="C322" s="10">
        <v>145229</v>
      </c>
      <c r="D322" s="9">
        <v>77</v>
      </c>
      <c r="E322" s="9" t="s">
        <v>13</v>
      </c>
      <c r="F322" s="11" t="s">
        <v>30</v>
      </c>
    </row>
    <row r="323" spans="1:6" x14ac:dyDescent="0.3">
      <c r="A323" s="5">
        <v>1322</v>
      </c>
      <c r="B323" s="5" t="s">
        <v>21</v>
      </c>
      <c r="C323" s="12">
        <v>140115</v>
      </c>
      <c r="D323" s="5">
        <v>34</v>
      </c>
      <c r="E323" s="5" t="s">
        <v>26</v>
      </c>
      <c r="F323" s="4" t="s">
        <v>20</v>
      </c>
    </row>
    <row r="324" spans="1:6" x14ac:dyDescent="0.3">
      <c r="A324" s="9">
        <v>1323</v>
      </c>
      <c r="B324" s="9" t="s">
        <v>21</v>
      </c>
      <c r="C324" s="10">
        <v>130639</v>
      </c>
      <c r="D324" s="9">
        <v>9</v>
      </c>
      <c r="E324" s="9" t="s">
        <v>19</v>
      </c>
      <c r="F324" s="11" t="s">
        <v>32</v>
      </c>
    </row>
    <row r="325" spans="1:6" x14ac:dyDescent="0.3">
      <c r="A325" s="5">
        <v>1324</v>
      </c>
      <c r="B325" s="5" t="s">
        <v>6</v>
      </c>
      <c r="C325" s="12">
        <v>51995</v>
      </c>
      <c r="D325" s="5">
        <v>28</v>
      </c>
      <c r="E325" s="5" t="s">
        <v>27</v>
      </c>
      <c r="F325" s="4" t="s">
        <v>11</v>
      </c>
    </row>
    <row r="326" spans="1:6" x14ac:dyDescent="0.3">
      <c r="A326" s="9">
        <v>1325</v>
      </c>
      <c r="B326" s="9" t="s">
        <v>12</v>
      </c>
      <c r="C326" s="10">
        <v>41000</v>
      </c>
      <c r="D326" s="9">
        <v>39</v>
      </c>
      <c r="E326" s="9" t="s">
        <v>26</v>
      </c>
      <c r="F326" s="11" t="s">
        <v>8</v>
      </c>
    </row>
    <row r="327" spans="1:6" x14ac:dyDescent="0.3">
      <c r="A327" s="5">
        <v>1326</v>
      </c>
      <c r="B327" s="5" t="s">
        <v>18</v>
      </c>
      <c r="C327" s="12">
        <v>15700</v>
      </c>
      <c r="D327" s="5">
        <v>54</v>
      </c>
      <c r="E327" s="5" t="s">
        <v>26</v>
      </c>
      <c r="F327" s="4" t="s">
        <v>29</v>
      </c>
    </row>
    <row r="328" spans="1:6" x14ac:dyDescent="0.3">
      <c r="A328" s="9">
        <v>1327</v>
      </c>
      <c r="B328" s="9" t="s">
        <v>25</v>
      </c>
      <c r="C328" s="10">
        <v>105208</v>
      </c>
      <c r="D328" s="9">
        <v>60</v>
      </c>
      <c r="E328" s="9" t="s">
        <v>22</v>
      </c>
      <c r="F328" s="11" t="s">
        <v>11</v>
      </c>
    </row>
    <row r="329" spans="1:6" x14ac:dyDescent="0.3">
      <c r="A329" s="5">
        <v>1328</v>
      </c>
      <c r="B329" s="5" t="s">
        <v>9</v>
      </c>
      <c r="C329" s="12">
        <v>152841</v>
      </c>
      <c r="D329" s="5">
        <v>73</v>
      </c>
      <c r="E329" s="5" t="s">
        <v>34</v>
      </c>
      <c r="F329" s="4" t="s">
        <v>20</v>
      </c>
    </row>
    <row r="330" spans="1:6" x14ac:dyDescent="0.3">
      <c r="A330" s="9">
        <v>1329</v>
      </c>
      <c r="B330" s="9" t="s">
        <v>31</v>
      </c>
      <c r="C330" s="10">
        <v>32083</v>
      </c>
      <c r="D330" s="9">
        <v>70</v>
      </c>
      <c r="E330" s="9" t="s">
        <v>34</v>
      </c>
      <c r="F330" s="11" t="s">
        <v>14</v>
      </c>
    </row>
    <row r="331" spans="1:6" x14ac:dyDescent="0.3">
      <c r="A331" s="5">
        <v>1330</v>
      </c>
      <c r="B331" s="5" t="s">
        <v>24</v>
      </c>
      <c r="C331" s="12">
        <v>117776</v>
      </c>
      <c r="D331" s="5">
        <v>36</v>
      </c>
      <c r="E331" s="5" t="s">
        <v>22</v>
      </c>
      <c r="F331" s="4" t="s">
        <v>29</v>
      </c>
    </row>
    <row r="332" spans="1:6" x14ac:dyDescent="0.3">
      <c r="A332" s="9">
        <v>1331</v>
      </c>
      <c r="B332" s="9" t="s">
        <v>12</v>
      </c>
      <c r="C332" s="10">
        <v>195046</v>
      </c>
      <c r="D332" s="9">
        <v>36</v>
      </c>
      <c r="E332" s="9" t="s">
        <v>26</v>
      </c>
      <c r="F332" s="11" t="s">
        <v>8</v>
      </c>
    </row>
    <row r="333" spans="1:6" x14ac:dyDescent="0.3">
      <c r="A333" s="5">
        <v>1332</v>
      </c>
      <c r="B333" s="5" t="s">
        <v>24</v>
      </c>
      <c r="C333" s="12">
        <v>149137</v>
      </c>
      <c r="D333" s="5">
        <v>55</v>
      </c>
      <c r="E333" s="5" t="s">
        <v>10</v>
      </c>
      <c r="F333" s="4" t="s">
        <v>32</v>
      </c>
    </row>
    <row r="334" spans="1:6" x14ac:dyDescent="0.3">
      <c r="A334" s="9">
        <v>1333</v>
      </c>
      <c r="B334" s="9" t="s">
        <v>28</v>
      </c>
      <c r="C334" s="10">
        <v>167377</v>
      </c>
      <c r="D334" s="9">
        <v>75</v>
      </c>
      <c r="E334" s="9" t="s">
        <v>34</v>
      </c>
      <c r="F334" s="11" t="s">
        <v>33</v>
      </c>
    </row>
    <row r="335" spans="1:6" x14ac:dyDescent="0.3">
      <c r="A335" s="5">
        <v>1334</v>
      </c>
      <c r="B335" s="5" t="s">
        <v>9</v>
      </c>
      <c r="C335" s="12">
        <v>90132</v>
      </c>
      <c r="D335" s="5">
        <v>48</v>
      </c>
      <c r="E335" s="5" t="s">
        <v>19</v>
      </c>
      <c r="F335" s="4" t="s">
        <v>29</v>
      </c>
    </row>
    <row r="336" spans="1:6" x14ac:dyDescent="0.3">
      <c r="A336" s="9">
        <v>1335</v>
      </c>
      <c r="B336" s="9" t="s">
        <v>31</v>
      </c>
      <c r="C336" s="10">
        <v>7937</v>
      </c>
      <c r="D336" s="9">
        <v>67</v>
      </c>
      <c r="E336" s="9" t="s">
        <v>27</v>
      </c>
      <c r="F336" s="11" t="s">
        <v>29</v>
      </c>
    </row>
    <row r="337" spans="1:6" x14ac:dyDescent="0.3">
      <c r="A337" s="5">
        <v>1336</v>
      </c>
      <c r="B337" s="5" t="s">
        <v>21</v>
      </c>
      <c r="C337" s="12">
        <v>154069</v>
      </c>
      <c r="D337" s="5">
        <v>22</v>
      </c>
      <c r="E337" s="5" t="s">
        <v>22</v>
      </c>
      <c r="F337" s="4" t="s">
        <v>20</v>
      </c>
    </row>
    <row r="338" spans="1:6" x14ac:dyDescent="0.3">
      <c r="A338" s="9">
        <v>1337</v>
      </c>
      <c r="B338" s="9" t="s">
        <v>21</v>
      </c>
      <c r="C338" s="10">
        <v>183954</v>
      </c>
      <c r="D338" s="9">
        <v>18</v>
      </c>
      <c r="E338" s="9" t="s">
        <v>27</v>
      </c>
      <c r="F338" s="11" t="s">
        <v>14</v>
      </c>
    </row>
    <row r="339" spans="1:6" x14ac:dyDescent="0.3">
      <c r="A339" s="5">
        <v>1338</v>
      </c>
      <c r="B339" s="5" t="s">
        <v>21</v>
      </c>
      <c r="C339" s="12">
        <v>121824</v>
      </c>
      <c r="D339" s="5">
        <v>75</v>
      </c>
      <c r="E339" s="5" t="s">
        <v>10</v>
      </c>
      <c r="F339" s="4" t="s">
        <v>23</v>
      </c>
    </row>
    <row r="340" spans="1:6" x14ac:dyDescent="0.3">
      <c r="A340" s="9">
        <v>1339</v>
      </c>
      <c r="B340" s="9" t="s">
        <v>21</v>
      </c>
      <c r="C340" s="10">
        <v>122506</v>
      </c>
      <c r="D340" s="9">
        <v>60</v>
      </c>
      <c r="E340" s="9" t="s">
        <v>27</v>
      </c>
      <c r="F340" s="11" t="s">
        <v>17</v>
      </c>
    </row>
    <row r="341" spans="1:6" x14ac:dyDescent="0.3">
      <c r="A341" s="5">
        <v>1340</v>
      </c>
      <c r="B341" s="5" t="s">
        <v>15</v>
      </c>
      <c r="C341" s="12">
        <v>59576</v>
      </c>
      <c r="D341" s="5">
        <v>61</v>
      </c>
      <c r="E341" s="5" t="s">
        <v>13</v>
      </c>
      <c r="F341" s="4" t="s">
        <v>11</v>
      </c>
    </row>
    <row r="342" spans="1:6" x14ac:dyDescent="0.3">
      <c r="A342" s="9">
        <v>1341</v>
      </c>
      <c r="B342" s="9" t="s">
        <v>6</v>
      </c>
      <c r="C342" s="10">
        <v>33193</v>
      </c>
      <c r="D342" s="9">
        <v>9</v>
      </c>
      <c r="E342" s="9" t="s">
        <v>34</v>
      </c>
      <c r="F342" s="11" t="s">
        <v>30</v>
      </c>
    </row>
    <row r="343" spans="1:6" x14ac:dyDescent="0.3">
      <c r="A343" s="5">
        <v>1342</v>
      </c>
      <c r="B343" s="5" t="s">
        <v>15</v>
      </c>
      <c r="C343" s="12">
        <v>81717</v>
      </c>
      <c r="D343" s="5">
        <v>8</v>
      </c>
      <c r="E343" s="5" t="s">
        <v>10</v>
      </c>
      <c r="F343" s="4" t="s">
        <v>32</v>
      </c>
    </row>
    <row r="344" spans="1:6" x14ac:dyDescent="0.3">
      <c r="A344" s="9">
        <v>1343</v>
      </c>
      <c r="B344" s="9" t="s">
        <v>24</v>
      </c>
      <c r="C344" s="10">
        <v>64625</v>
      </c>
      <c r="D344" s="9">
        <v>79</v>
      </c>
      <c r="E344" s="9" t="s">
        <v>26</v>
      </c>
      <c r="F344" s="11" t="s">
        <v>17</v>
      </c>
    </row>
    <row r="345" spans="1:6" x14ac:dyDescent="0.3">
      <c r="A345" s="5">
        <v>1344</v>
      </c>
      <c r="B345" s="5" t="s">
        <v>31</v>
      </c>
      <c r="C345" s="12">
        <v>32269</v>
      </c>
      <c r="D345" s="5">
        <v>67</v>
      </c>
      <c r="E345" s="5" t="s">
        <v>16</v>
      </c>
      <c r="F345" s="4" t="s">
        <v>30</v>
      </c>
    </row>
    <row r="346" spans="1:6" x14ac:dyDescent="0.3">
      <c r="A346" s="9">
        <v>1345</v>
      </c>
      <c r="B346" s="9" t="s">
        <v>6</v>
      </c>
      <c r="C346" s="10">
        <v>32463</v>
      </c>
      <c r="D346" s="9">
        <v>58</v>
      </c>
      <c r="E346" s="9" t="s">
        <v>34</v>
      </c>
      <c r="F346" s="11" t="s">
        <v>23</v>
      </c>
    </row>
    <row r="347" spans="1:6" x14ac:dyDescent="0.3">
      <c r="A347" s="5">
        <v>1346</v>
      </c>
      <c r="B347" s="5" t="s">
        <v>15</v>
      </c>
      <c r="C347" s="12">
        <v>150378</v>
      </c>
      <c r="D347" s="5">
        <v>42</v>
      </c>
      <c r="E347" s="5" t="s">
        <v>26</v>
      </c>
      <c r="F347" s="4" t="s">
        <v>29</v>
      </c>
    </row>
    <row r="348" spans="1:6" x14ac:dyDescent="0.3">
      <c r="A348" s="9">
        <v>1347</v>
      </c>
      <c r="B348" s="9" t="s">
        <v>24</v>
      </c>
      <c r="C348" s="10">
        <v>156984</v>
      </c>
      <c r="D348" s="9">
        <v>91</v>
      </c>
      <c r="E348" s="9" t="s">
        <v>7</v>
      </c>
      <c r="F348" s="11" t="s">
        <v>11</v>
      </c>
    </row>
    <row r="349" spans="1:6" x14ac:dyDescent="0.3">
      <c r="A349" s="5">
        <v>1348</v>
      </c>
      <c r="B349" s="5" t="s">
        <v>31</v>
      </c>
      <c r="C349" s="12">
        <v>153671</v>
      </c>
      <c r="D349" s="5">
        <v>25</v>
      </c>
      <c r="E349" s="5" t="s">
        <v>27</v>
      </c>
      <c r="F349" s="4" t="s">
        <v>33</v>
      </c>
    </row>
    <row r="350" spans="1:6" x14ac:dyDescent="0.3">
      <c r="A350" s="9">
        <v>1349</v>
      </c>
      <c r="B350" s="9" t="s">
        <v>25</v>
      </c>
      <c r="C350" s="10">
        <v>138785</v>
      </c>
      <c r="D350" s="9">
        <v>17</v>
      </c>
      <c r="E350" s="9" t="s">
        <v>10</v>
      </c>
      <c r="F350" s="11" t="s">
        <v>33</v>
      </c>
    </row>
    <row r="351" spans="1:6" x14ac:dyDescent="0.3">
      <c r="A351" s="5">
        <v>1350</v>
      </c>
      <c r="B351" s="5" t="s">
        <v>12</v>
      </c>
      <c r="C351" s="12">
        <v>134623</v>
      </c>
      <c r="D351" s="5">
        <v>17</v>
      </c>
      <c r="E351" s="5" t="s">
        <v>22</v>
      </c>
      <c r="F351" s="4" t="s">
        <v>20</v>
      </c>
    </row>
    <row r="352" spans="1:6" x14ac:dyDescent="0.3">
      <c r="A352" s="9">
        <v>1351</v>
      </c>
      <c r="B352" s="9" t="s">
        <v>18</v>
      </c>
      <c r="C352" s="10">
        <v>166635</v>
      </c>
      <c r="D352" s="9">
        <v>71</v>
      </c>
      <c r="E352" s="9" t="s">
        <v>19</v>
      </c>
      <c r="F352" s="11" t="s">
        <v>29</v>
      </c>
    </row>
    <row r="353" spans="1:6" x14ac:dyDescent="0.3">
      <c r="A353" s="5">
        <v>1352</v>
      </c>
      <c r="B353" s="5" t="s">
        <v>25</v>
      </c>
      <c r="C353" s="12">
        <v>30829</v>
      </c>
      <c r="D353" s="5">
        <v>50</v>
      </c>
      <c r="E353" s="5" t="s">
        <v>26</v>
      </c>
      <c r="F353" s="4" t="s">
        <v>8</v>
      </c>
    </row>
    <row r="354" spans="1:6" x14ac:dyDescent="0.3">
      <c r="A354" s="9">
        <v>1353</v>
      </c>
      <c r="B354" s="9" t="s">
        <v>9</v>
      </c>
      <c r="C354" s="10">
        <v>130431</v>
      </c>
      <c r="D354" s="9">
        <v>84</v>
      </c>
      <c r="E354" s="9" t="s">
        <v>26</v>
      </c>
      <c r="F354" s="11" t="s">
        <v>14</v>
      </c>
    </row>
    <row r="355" spans="1:6" x14ac:dyDescent="0.3">
      <c r="A355" s="5">
        <v>1354</v>
      </c>
      <c r="B355" s="5" t="s">
        <v>18</v>
      </c>
      <c r="C355" s="12">
        <v>192619</v>
      </c>
      <c r="D355" s="5">
        <v>23</v>
      </c>
      <c r="E355" s="5" t="s">
        <v>34</v>
      </c>
      <c r="F355" s="4" t="s">
        <v>32</v>
      </c>
    </row>
    <row r="356" spans="1:6" x14ac:dyDescent="0.3">
      <c r="A356" s="9">
        <v>1355</v>
      </c>
      <c r="B356" s="9" t="s">
        <v>9</v>
      </c>
      <c r="C356" s="10">
        <v>15534</v>
      </c>
      <c r="D356" s="9">
        <v>46</v>
      </c>
      <c r="E356" s="9" t="s">
        <v>13</v>
      </c>
      <c r="F356" s="11" t="s">
        <v>33</v>
      </c>
    </row>
    <row r="357" spans="1:6" x14ac:dyDescent="0.3">
      <c r="A357" s="5">
        <v>1356</v>
      </c>
      <c r="B357" s="5" t="s">
        <v>12</v>
      </c>
      <c r="C357" s="12">
        <v>100006</v>
      </c>
      <c r="D357" s="5">
        <v>12</v>
      </c>
      <c r="E357" s="5" t="s">
        <v>19</v>
      </c>
      <c r="F357" s="4" t="s">
        <v>17</v>
      </c>
    </row>
    <row r="358" spans="1:6" x14ac:dyDescent="0.3">
      <c r="A358" s="9">
        <v>1357</v>
      </c>
      <c r="B358" s="9" t="s">
        <v>31</v>
      </c>
      <c r="C358" s="10">
        <v>194837</v>
      </c>
      <c r="D358" s="9">
        <v>44</v>
      </c>
      <c r="E358" s="9" t="s">
        <v>16</v>
      </c>
      <c r="F358" s="11" t="s">
        <v>11</v>
      </c>
    </row>
    <row r="359" spans="1:6" x14ac:dyDescent="0.3">
      <c r="A359" s="5">
        <v>1358</v>
      </c>
      <c r="B359" s="5" t="s">
        <v>9</v>
      </c>
      <c r="C359" s="12">
        <v>108842</v>
      </c>
      <c r="D359" s="5">
        <v>64</v>
      </c>
      <c r="E359" s="5" t="s">
        <v>13</v>
      </c>
      <c r="F359" s="4" t="s">
        <v>20</v>
      </c>
    </row>
    <row r="360" spans="1:6" x14ac:dyDescent="0.3">
      <c r="A360" s="9">
        <v>1359</v>
      </c>
      <c r="B360" s="9" t="s">
        <v>21</v>
      </c>
      <c r="C360" s="10">
        <v>153278</v>
      </c>
      <c r="D360" s="9">
        <v>72</v>
      </c>
      <c r="E360" s="9" t="s">
        <v>22</v>
      </c>
      <c r="F360" s="11" t="s">
        <v>17</v>
      </c>
    </row>
    <row r="361" spans="1:6" x14ac:dyDescent="0.3">
      <c r="A361" s="5">
        <v>1360</v>
      </c>
      <c r="B361" s="5" t="s">
        <v>24</v>
      </c>
      <c r="C361" s="12">
        <v>95459</v>
      </c>
      <c r="D361" s="5">
        <v>58</v>
      </c>
      <c r="E361" s="5" t="s">
        <v>26</v>
      </c>
      <c r="F361" s="4" t="s">
        <v>23</v>
      </c>
    </row>
    <row r="362" spans="1:6" x14ac:dyDescent="0.3">
      <c r="A362" s="9">
        <v>1361</v>
      </c>
      <c r="B362" s="9" t="s">
        <v>6</v>
      </c>
      <c r="C362" s="10">
        <v>112948</v>
      </c>
      <c r="D362" s="9">
        <v>36</v>
      </c>
      <c r="E362" s="9" t="s">
        <v>16</v>
      </c>
      <c r="F362" s="11" t="s">
        <v>30</v>
      </c>
    </row>
    <row r="363" spans="1:6" x14ac:dyDescent="0.3">
      <c r="A363" s="5">
        <v>1362</v>
      </c>
      <c r="B363" s="5" t="s">
        <v>12</v>
      </c>
      <c r="C363" s="12">
        <v>75401</v>
      </c>
      <c r="D363" s="5">
        <v>71</v>
      </c>
      <c r="E363" s="5" t="s">
        <v>7</v>
      </c>
      <c r="F363" s="4" t="s">
        <v>33</v>
      </c>
    </row>
    <row r="364" spans="1:6" x14ac:dyDescent="0.3">
      <c r="A364" s="9">
        <v>1363</v>
      </c>
      <c r="B364" s="9" t="s">
        <v>18</v>
      </c>
      <c r="C364" s="10">
        <v>145711</v>
      </c>
      <c r="D364" s="9">
        <v>22</v>
      </c>
      <c r="E364" s="9" t="s">
        <v>13</v>
      </c>
      <c r="F364" s="11" t="s">
        <v>30</v>
      </c>
    </row>
    <row r="365" spans="1:6" x14ac:dyDescent="0.3">
      <c r="A365" s="5">
        <v>1364</v>
      </c>
      <c r="B365" s="5" t="s">
        <v>21</v>
      </c>
      <c r="C365" s="12">
        <v>48075</v>
      </c>
      <c r="D365" s="5">
        <v>11</v>
      </c>
      <c r="E365" s="5" t="s">
        <v>7</v>
      </c>
      <c r="F365" s="4" t="s">
        <v>14</v>
      </c>
    </row>
    <row r="366" spans="1:6" x14ac:dyDescent="0.3">
      <c r="A366" s="9">
        <v>1365</v>
      </c>
      <c r="B366" s="9" t="s">
        <v>6</v>
      </c>
      <c r="C366" s="10">
        <v>86695</v>
      </c>
      <c r="D366" s="9">
        <v>50</v>
      </c>
      <c r="E366" s="9" t="s">
        <v>22</v>
      </c>
      <c r="F366" s="11" t="s">
        <v>11</v>
      </c>
    </row>
    <row r="367" spans="1:6" x14ac:dyDescent="0.3">
      <c r="A367" s="5">
        <v>1366</v>
      </c>
      <c r="B367" s="5" t="s">
        <v>9</v>
      </c>
      <c r="C367" s="12">
        <v>128079</v>
      </c>
      <c r="D367" s="5">
        <v>43</v>
      </c>
      <c r="E367" s="5" t="s">
        <v>7</v>
      </c>
      <c r="F367" s="4" t="s">
        <v>23</v>
      </c>
    </row>
    <row r="368" spans="1:6" x14ac:dyDescent="0.3">
      <c r="A368" s="9">
        <v>1367</v>
      </c>
      <c r="B368" s="9" t="s">
        <v>25</v>
      </c>
      <c r="C368" s="10">
        <v>173797</v>
      </c>
      <c r="D368" s="9">
        <v>96</v>
      </c>
      <c r="E368" s="9" t="s">
        <v>22</v>
      </c>
      <c r="F368" s="11" t="s">
        <v>30</v>
      </c>
    </row>
    <row r="369" spans="1:6" x14ac:dyDescent="0.3">
      <c r="A369" s="5">
        <v>1368</v>
      </c>
      <c r="B369" s="5" t="s">
        <v>18</v>
      </c>
      <c r="C369" s="12">
        <v>31924</v>
      </c>
      <c r="D369" s="5">
        <v>38</v>
      </c>
      <c r="E369" s="5" t="s">
        <v>34</v>
      </c>
      <c r="F369" s="4" t="s">
        <v>11</v>
      </c>
    </row>
    <row r="370" spans="1:6" x14ac:dyDescent="0.3">
      <c r="A370" s="9">
        <v>1369</v>
      </c>
      <c r="B370" s="9" t="s">
        <v>31</v>
      </c>
      <c r="C370" s="10">
        <v>46564</v>
      </c>
      <c r="D370" s="9">
        <v>56</v>
      </c>
      <c r="E370" s="9" t="s">
        <v>10</v>
      </c>
      <c r="F370" s="11" t="s">
        <v>30</v>
      </c>
    </row>
    <row r="371" spans="1:6" x14ac:dyDescent="0.3">
      <c r="A371" s="5">
        <v>1370</v>
      </c>
      <c r="B371" s="5" t="s">
        <v>24</v>
      </c>
      <c r="C371" s="12">
        <v>164081</v>
      </c>
      <c r="D371" s="5">
        <v>79</v>
      </c>
      <c r="E371" s="5" t="s">
        <v>27</v>
      </c>
      <c r="F371" s="4" t="s">
        <v>32</v>
      </c>
    </row>
    <row r="372" spans="1:6" x14ac:dyDescent="0.3">
      <c r="A372" s="9">
        <v>1371</v>
      </c>
      <c r="B372" s="9" t="s">
        <v>24</v>
      </c>
      <c r="C372" s="10">
        <v>153348</v>
      </c>
      <c r="D372" s="9">
        <v>60</v>
      </c>
      <c r="E372" s="9" t="s">
        <v>27</v>
      </c>
      <c r="F372" s="11" t="s">
        <v>30</v>
      </c>
    </row>
    <row r="373" spans="1:6" x14ac:dyDescent="0.3">
      <c r="A373" s="5">
        <v>1372</v>
      </c>
      <c r="B373" s="5" t="s">
        <v>21</v>
      </c>
      <c r="C373" s="12">
        <v>138155</v>
      </c>
      <c r="D373" s="5">
        <v>5</v>
      </c>
      <c r="E373" s="5" t="s">
        <v>27</v>
      </c>
      <c r="F373" s="4" t="s">
        <v>23</v>
      </c>
    </row>
    <row r="374" spans="1:6" x14ac:dyDescent="0.3">
      <c r="A374" s="9">
        <v>1373</v>
      </c>
      <c r="B374" s="9" t="s">
        <v>21</v>
      </c>
      <c r="C374" s="10">
        <v>183161</v>
      </c>
      <c r="D374" s="9">
        <v>42</v>
      </c>
      <c r="E374" s="9" t="s">
        <v>16</v>
      </c>
      <c r="F374" s="11" t="s">
        <v>32</v>
      </c>
    </row>
    <row r="375" spans="1:6" x14ac:dyDescent="0.3">
      <c r="A375" s="5">
        <v>1374</v>
      </c>
      <c r="B375" s="5" t="s">
        <v>31</v>
      </c>
      <c r="C375" s="12">
        <v>177626</v>
      </c>
      <c r="D375" s="5">
        <v>37</v>
      </c>
      <c r="E375" s="5" t="s">
        <v>27</v>
      </c>
      <c r="F375" s="4" t="s">
        <v>20</v>
      </c>
    </row>
    <row r="376" spans="1:6" x14ac:dyDescent="0.3">
      <c r="A376" s="9">
        <v>1375</v>
      </c>
      <c r="B376" s="9" t="s">
        <v>24</v>
      </c>
      <c r="C376" s="10">
        <v>185819</v>
      </c>
      <c r="D376" s="9">
        <v>10</v>
      </c>
      <c r="E376" s="9" t="s">
        <v>7</v>
      </c>
      <c r="F376" s="11" t="s">
        <v>23</v>
      </c>
    </row>
    <row r="377" spans="1:6" x14ac:dyDescent="0.3">
      <c r="A377" s="5">
        <v>1376</v>
      </c>
      <c r="B377" s="5" t="s">
        <v>18</v>
      </c>
      <c r="C377" s="12">
        <v>162495</v>
      </c>
      <c r="D377" s="5">
        <v>5</v>
      </c>
      <c r="E377" s="5" t="s">
        <v>27</v>
      </c>
      <c r="F377" s="4" t="s">
        <v>14</v>
      </c>
    </row>
    <row r="378" spans="1:6" x14ac:dyDescent="0.3">
      <c r="A378" s="9">
        <v>1377</v>
      </c>
      <c r="B378" s="9" t="s">
        <v>25</v>
      </c>
      <c r="C378" s="10">
        <v>163125</v>
      </c>
      <c r="D378" s="9">
        <v>55</v>
      </c>
      <c r="E378" s="9" t="s">
        <v>34</v>
      </c>
      <c r="F378" s="11" t="s">
        <v>8</v>
      </c>
    </row>
    <row r="379" spans="1:6" x14ac:dyDescent="0.3">
      <c r="A379" s="5">
        <v>1378</v>
      </c>
      <c r="B379" s="5" t="s">
        <v>9</v>
      </c>
      <c r="C379" s="12">
        <v>130968</v>
      </c>
      <c r="D379" s="5">
        <v>79</v>
      </c>
      <c r="E379" s="5" t="s">
        <v>7</v>
      </c>
      <c r="F379" s="4" t="s">
        <v>23</v>
      </c>
    </row>
    <row r="380" spans="1:6" x14ac:dyDescent="0.3">
      <c r="A380" s="9">
        <v>1379</v>
      </c>
      <c r="B380" s="9" t="s">
        <v>9</v>
      </c>
      <c r="C380" s="10">
        <v>22932</v>
      </c>
      <c r="D380" s="9">
        <v>56</v>
      </c>
      <c r="E380" s="9" t="s">
        <v>26</v>
      </c>
      <c r="F380" s="11" t="s">
        <v>30</v>
      </c>
    </row>
    <row r="381" spans="1:6" x14ac:dyDescent="0.3">
      <c r="A381" s="5">
        <v>1380</v>
      </c>
      <c r="B381" s="5" t="s">
        <v>24</v>
      </c>
      <c r="C381" s="12">
        <v>73564</v>
      </c>
      <c r="D381" s="5">
        <v>27</v>
      </c>
      <c r="E381" s="5" t="s">
        <v>27</v>
      </c>
      <c r="F381" s="4" t="s">
        <v>30</v>
      </c>
    </row>
    <row r="382" spans="1:6" x14ac:dyDescent="0.3">
      <c r="A382" s="9">
        <v>1381</v>
      </c>
      <c r="B382" s="9" t="s">
        <v>12</v>
      </c>
      <c r="C382" s="10">
        <v>192540</v>
      </c>
      <c r="D382" s="9">
        <v>87</v>
      </c>
      <c r="E382" s="9" t="s">
        <v>27</v>
      </c>
      <c r="F382" s="11" t="s">
        <v>32</v>
      </c>
    </row>
    <row r="383" spans="1:6" x14ac:dyDescent="0.3">
      <c r="A383" s="5">
        <v>1382</v>
      </c>
      <c r="B383" s="5" t="s">
        <v>6</v>
      </c>
      <c r="C383" s="12">
        <v>23665</v>
      </c>
      <c r="D383" s="5">
        <v>60</v>
      </c>
      <c r="E383" s="5" t="s">
        <v>26</v>
      </c>
      <c r="F383" s="4" t="s">
        <v>29</v>
      </c>
    </row>
    <row r="384" spans="1:6" x14ac:dyDescent="0.3">
      <c r="A384" s="9">
        <v>1383</v>
      </c>
      <c r="B384" s="9" t="s">
        <v>24</v>
      </c>
      <c r="C384" s="10">
        <v>107027</v>
      </c>
      <c r="D384" s="9">
        <v>17</v>
      </c>
      <c r="E384" s="9" t="s">
        <v>34</v>
      </c>
      <c r="F384" s="11" t="s">
        <v>32</v>
      </c>
    </row>
    <row r="385" spans="1:6" x14ac:dyDescent="0.3">
      <c r="A385" s="5">
        <v>1384</v>
      </c>
      <c r="B385" s="5" t="s">
        <v>18</v>
      </c>
      <c r="C385" s="12">
        <v>188528</v>
      </c>
      <c r="D385" s="5">
        <v>70</v>
      </c>
      <c r="E385" s="5" t="s">
        <v>22</v>
      </c>
      <c r="F385" s="4" t="s">
        <v>14</v>
      </c>
    </row>
    <row r="386" spans="1:6" x14ac:dyDescent="0.3">
      <c r="A386" s="9">
        <v>1385</v>
      </c>
      <c r="B386" s="9" t="s">
        <v>18</v>
      </c>
      <c r="C386" s="10">
        <v>22682</v>
      </c>
      <c r="D386" s="9">
        <v>51</v>
      </c>
      <c r="E386" s="9" t="s">
        <v>19</v>
      </c>
      <c r="F386" s="11" t="s">
        <v>17</v>
      </c>
    </row>
    <row r="387" spans="1:6" x14ac:dyDescent="0.3">
      <c r="A387" s="5">
        <v>1386</v>
      </c>
      <c r="B387" s="5" t="s">
        <v>18</v>
      </c>
      <c r="C387" s="12">
        <v>29605</v>
      </c>
      <c r="D387" s="5">
        <v>52</v>
      </c>
      <c r="E387" s="5" t="s">
        <v>13</v>
      </c>
      <c r="F387" s="4" t="s">
        <v>33</v>
      </c>
    </row>
    <row r="388" spans="1:6" x14ac:dyDescent="0.3">
      <c r="A388" s="9">
        <v>1387</v>
      </c>
      <c r="B388" s="9" t="s">
        <v>31</v>
      </c>
      <c r="C388" s="10">
        <v>133925</v>
      </c>
      <c r="D388" s="9">
        <v>16</v>
      </c>
      <c r="E388" s="9" t="s">
        <v>26</v>
      </c>
      <c r="F388" s="11" t="s">
        <v>17</v>
      </c>
    </row>
    <row r="389" spans="1:6" x14ac:dyDescent="0.3">
      <c r="A389" s="5">
        <v>1388</v>
      </c>
      <c r="B389" s="5" t="s">
        <v>6</v>
      </c>
      <c r="C389" s="12">
        <v>124845</v>
      </c>
      <c r="D389" s="5">
        <v>40</v>
      </c>
      <c r="E389" s="5" t="s">
        <v>16</v>
      </c>
      <c r="F389" s="4" t="s">
        <v>20</v>
      </c>
    </row>
    <row r="390" spans="1:6" x14ac:dyDescent="0.3">
      <c r="A390" s="9">
        <v>1389</v>
      </c>
      <c r="B390" s="9" t="s">
        <v>15</v>
      </c>
      <c r="C390" s="10">
        <v>137212</v>
      </c>
      <c r="D390" s="9">
        <v>65</v>
      </c>
      <c r="E390" s="9" t="s">
        <v>7</v>
      </c>
      <c r="F390" s="11" t="s">
        <v>30</v>
      </c>
    </row>
    <row r="391" spans="1:6" x14ac:dyDescent="0.3">
      <c r="A391" s="5">
        <v>1390</v>
      </c>
      <c r="B391" s="5" t="s">
        <v>28</v>
      </c>
      <c r="C391" s="12">
        <v>10378</v>
      </c>
      <c r="D391" s="5">
        <v>88</v>
      </c>
      <c r="E391" s="5" t="s">
        <v>27</v>
      </c>
      <c r="F391" s="4" t="s">
        <v>32</v>
      </c>
    </row>
    <row r="392" spans="1:6" x14ac:dyDescent="0.3">
      <c r="A392" s="9">
        <v>1391</v>
      </c>
      <c r="B392" s="9" t="s">
        <v>28</v>
      </c>
      <c r="C392" s="10">
        <v>43472</v>
      </c>
      <c r="D392" s="9">
        <v>88</v>
      </c>
      <c r="E392" s="9" t="s">
        <v>26</v>
      </c>
      <c r="F392" s="11" t="s">
        <v>20</v>
      </c>
    </row>
    <row r="393" spans="1:6" x14ac:dyDescent="0.3">
      <c r="A393" s="5">
        <v>1392</v>
      </c>
      <c r="B393" s="5" t="s">
        <v>6</v>
      </c>
      <c r="C393" s="12">
        <v>64730</v>
      </c>
      <c r="D393" s="5">
        <v>11</v>
      </c>
      <c r="E393" s="5" t="s">
        <v>34</v>
      </c>
      <c r="F393" s="4" t="s">
        <v>11</v>
      </c>
    </row>
    <row r="394" spans="1:6" x14ac:dyDescent="0.3">
      <c r="A394" s="9">
        <v>1393</v>
      </c>
      <c r="B394" s="9" t="s">
        <v>31</v>
      </c>
      <c r="C394" s="10">
        <v>19709</v>
      </c>
      <c r="D394" s="9">
        <v>11</v>
      </c>
      <c r="E394" s="9" t="s">
        <v>27</v>
      </c>
      <c r="F394" s="11" t="s">
        <v>17</v>
      </c>
    </row>
    <row r="395" spans="1:6" x14ac:dyDescent="0.3">
      <c r="A395" s="5">
        <v>1394</v>
      </c>
      <c r="B395" s="5" t="s">
        <v>28</v>
      </c>
      <c r="C395" s="12">
        <v>81633</v>
      </c>
      <c r="D395" s="5">
        <v>22</v>
      </c>
      <c r="E395" s="5" t="s">
        <v>13</v>
      </c>
      <c r="F395" s="4" t="s">
        <v>8</v>
      </c>
    </row>
    <row r="396" spans="1:6" x14ac:dyDescent="0.3">
      <c r="A396" s="9">
        <v>1395</v>
      </c>
      <c r="B396" s="9" t="s">
        <v>28</v>
      </c>
      <c r="C396" s="10">
        <v>23312</v>
      </c>
      <c r="D396" s="9">
        <v>8</v>
      </c>
      <c r="E396" s="9" t="s">
        <v>19</v>
      </c>
      <c r="F396" s="11" t="s">
        <v>33</v>
      </c>
    </row>
    <row r="397" spans="1:6" x14ac:dyDescent="0.3">
      <c r="A397" s="5">
        <v>1396</v>
      </c>
      <c r="B397" s="5" t="s">
        <v>24</v>
      </c>
      <c r="C397" s="12">
        <v>188989</v>
      </c>
      <c r="D397" s="5">
        <v>35</v>
      </c>
      <c r="E397" s="5" t="s">
        <v>10</v>
      </c>
      <c r="F397" s="4" t="s">
        <v>23</v>
      </c>
    </row>
    <row r="398" spans="1:6" x14ac:dyDescent="0.3">
      <c r="A398" s="9">
        <v>1397</v>
      </c>
      <c r="B398" s="9" t="s">
        <v>31</v>
      </c>
      <c r="C398" s="10">
        <v>123778</v>
      </c>
      <c r="D398" s="9">
        <v>16</v>
      </c>
      <c r="E398" s="9" t="s">
        <v>27</v>
      </c>
      <c r="F398" s="11" t="s">
        <v>17</v>
      </c>
    </row>
    <row r="399" spans="1:6" x14ac:dyDescent="0.3">
      <c r="A399" s="5">
        <v>1398</v>
      </c>
      <c r="B399" s="5" t="s">
        <v>25</v>
      </c>
      <c r="C399" s="12">
        <v>114528</v>
      </c>
      <c r="D399" s="5">
        <v>98</v>
      </c>
      <c r="E399" s="5" t="s">
        <v>26</v>
      </c>
      <c r="F399" s="4" t="s">
        <v>11</v>
      </c>
    </row>
    <row r="400" spans="1:6" x14ac:dyDescent="0.3">
      <c r="A400" s="9">
        <v>1399</v>
      </c>
      <c r="B400" s="9" t="s">
        <v>24</v>
      </c>
      <c r="C400" s="10">
        <v>94197</v>
      </c>
      <c r="D400" s="9">
        <v>40</v>
      </c>
      <c r="E400" s="9" t="s">
        <v>13</v>
      </c>
      <c r="F400" s="11" t="s">
        <v>30</v>
      </c>
    </row>
    <row r="401" spans="1:6" x14ac:dyDescent="0.3">
      <c r="A401" s="5">
        <v>1400</v>
      </c>
      <c r="B401" s="5" t="s">
        <v>28</v>
      </c>
      <c r="C401" s="12">
        <v>72789</v>
      </c>
      <c r="D401" s="5">
        <v>47</v>
      </c>
      <c r="E401" s="5" t="s">
        <v>34</v>
      </c>
      <c r="F401" s="4" t="s">
        <v>23</v>
      </c>
    </row>
    <row r="402" spans="1:6" x14ac:dyDescent="0.3">
      <c r="A402" s="9">
        <v>1401</v>
      </c>
      <c r="B402" s="9" t="s">
        <v>15</v>
      </c>
      <c r="C402" s="10">
        <v>22026</v>
      </c>
      <c r="D402" s="9">
        <v>53</v>
      </c>
      <c r="E402" s="9" t="s">
        <v>7</v>
      </c>
      <c r="F402" s="11" t="s">
        <v>30</v>
      </c>
    </row>
    <row r="403" spans="1:6" x14ac:dyDescent="0.3">
      <c r="A403" s="5">
        <v>1402</v>
      </c>
      <c r="B403" s="5" t="s">
        <v>21</v>
      </c>
      <c r="C403" s="12">
        <v>42153</v>
      </c>
      <c r="D403" s="5">
        <v>41</v>
      </c>
      <c r="E403" s="5" t="s">
        <v>16</v>
      </c>
      <c r="F403" s="4" t="s">
        <v>29</v>
      </c>
    </row>
    <row r="404" spans="1:6" x14ac:dyDescent="0.3">
      <c r="A404" s="9">
        <v>1403</v>
      </c>
      <c r="B404" s="9" t="s">
        <v>24</v>
      </c>
      <c r="C404" s="10">
        <v>121731</v>
      </c>
      <c r="D404" s="9">
        <v>39</v>
      </c>
      <c r="E404" s="9" t="s">
        <v>27</v>
      </c>
      <c r="F404" s="11" t="s">
        <v>23</v>
      </c>
    </row>
    <row r="405" spans="1:6" x14ac:dyDescent="0.3">
      <c r="A405" s="5">
        <v>1404</v>
      </c>
      <c r="B405" s="5" t="s">
        <v>6</v>
      </c>
      <c r="C405" s="12">
        <v>150973</v>
      </c>
      <c r="D405" s="5">
        <v>75</v>
      </c>
      <c r="E405" s="5" t="s">
        <v>19</v>
      </c>
      <c r="F405" s="4" t="s">
        <v>14</v>
      </c>
    </row>
    <row r="406" spans="1:6" x14ac:dyDescent="0.3">
      <c r="A406" s="9">
        <v>1405</v>
      </c>
      <c r="B406" s="9" t="s">
        <v>6</v>
      </c>
      <c r="C406" s="10">
        <v>76071</v>
      </c>
      <c r="D406" s="9">
        <v>79</v>
      </c>
      <c r="E406" s="9" t="s">
        <v>27</v>
      </c>
      <c r="F406" s="11" t="s">
        <v>17</v>
      </c>
    </row>
    <row r="407" spans="1:6" x14ac:dyDescent="0.3">
      <c r="A407" s="5">
        <v>1406</v>
      </c>
      <c r="B407" s="5" t="s">
        <v>6</v>
      </c>
      <c r="C407" s="12">
        <v>156463</v>
      </c>
      <c r="D407" s="5">
        <v>27</v>
      </c>
      <c r="E407" s="5" t="s">
        <v>27</v>
      </c>
      <c r="F407" s="4" t="s">
        <v>23</v>
      </c>
    </row>
    <row r="408" spans="1:6" x14ac:dyDescent="0.3">
      <c r="A408" s="9">
        <v>1407</v>
      </c>
      <c r="B408" s="9" t="s">
        <v>25</v>
      </c>
      <c r="C408" s="10">
        <v>103154</v>
      </c>
      <c r="D408" s="9">
        <v>26</v>
      </c>
      <c r="E408" s="9" t="s">
        <v>34</v>
      </c>
      <c r="F408" s="11" t="s">
        <v>23</v>
      </c>
    </row>
    <row r="409" spans="1:6" x14ac:dyDescent="0.3">
      <c r="A409" s="5">
        <v>1408</v>
      </c>
      <c r="B409" s="5" t="s">
        <v>12</v>
      </c>
      <c r="C409" s="12">
        <v>154933</v>
      </c>
      <c r="D409" s="5">
        <v>92</v>
      </c>
      <c r="E409" s="5" t="s">
        <v>34</v>
      </c>
      <c r="F409" s="4" t="s">
        <v>20</v>
      </c>
    </row>
    <row r="410" spans="1:6" x14ac:dyDescent="0.3">
      <c r="A410" s="9">
        <v>1409</v>
      </c>
      <c r="B410" s="9" t="s">
        <v>15</v>
      </c>
      <c r="C410" s="10">
        <v>123694</v>
      </c>
      <c r="D410" s="9">
        <v>30</v>
      </c>
      <c r="E410" s="9" t="s">
        <v>19</v>
      </c>
      <c r="F410" s="11" t="s">
        <v>11</v>
      </c>
    </row>
    <row r="411" spans="1:6" x14ac:dyDescent="0.3">
      <c r="A411" s="5">
        <v>1410</v>
      </c>
      <c r="B411" s="5" t="s">
        <v>18</v>
      </c>
      <c r="C411" s="12">
        <v>128851</v>
      </c>
      <c r="D411" s="5">
        <v>41</v>
      </c>
      <c r="E411" s="5" t="s">
        <v>22</v>
      </c>
      <c r="F411" s="4" t="s">
        <v>30</v>
      </c>
    </row>
    <row r="412" spans="1:6" x14ac:dyDescent="0.3">
      <c r="A412" s="9">
        <v>1411</v>
      </c>
      <c r="B412" s="9" t="s">
        <v>15</v>
      </c>
      <c r="C412" s="10">
        <v>62311</v>
      </c>
      <c r="D412" s="9">
        <v>43</v>
      </c>
      <c r="E412" s="9" t="s">
        <v>16</v>
      </c>
      <c r="F412" s="11" t="s">
        <v>23</v>
      </c>
    </row>
    <row r="413" spans="1:6" x14ac:dyDescent="0.3">
      <c r="A413" s="5">
        <v>1412</v>
      </c>
      <c r="B413" s="5" t="s">
        <v>6</v>
      </c>
      <c r="C413" s="12">
        <v>155498</v>
      </c>
      <c r="D413" s="5">
        <v>13</v>
      </c>
      <c r="E413" s="5" t="s">
        <v>27</v>
      </c>
      <c r="F413" s="4" t="s">
        <v>14</v>
      </c>
    </row>
    <row r="414" spans="1:6" x14ac:dyDescent="0.3">
      <c r="A414" s="9">
        <v>1413</v>
      </c>
      <c r="B414" s="9" t="s">
        <v>24</v>
      </c>
      <c r="C414" s="10">
        <v>29187</v>
      </c>
      <c r="D414" s="9">
        <v>78</v>
      </c>
      <c r="E414" s="9" t="s">
        <v>13</v>
      </c>
      <c r="F414" s="11" t="s">
        <v>30</v>
      </c>
    </row>
    <row r="415" spans="1:6" x14ac:dyDescent="0.3">
      <c r="A415" s="5">
        <v>1414</v>
      </c>
      <c r="B415" s="5" t="s">
        <v>24</v>
      </c>
      <c r="C415" s="12">
        <v>99404</v>
      </c>
      <c r="D415" s="5">
        <v>30</v>
      </c>
      <c r="E415" s="5" t="s">
        <v>22</v>
      </c>
      <c r="F415" s="4" t="s">
        <v>14</v>
      </c>
    </row>
    <row r="416" spans="1:6" x14ac:dyDescent="0.3">
      <c r="A416" s="9">
        <v>1415</v>
      </c>
      <c r="B416" s="9" t="s">
        <v>24</v>
      </c>
      <c r="C416" s="10">
        <v>113424</v>
      </c>
      <c r="D416" s="9">
        <v>100</v>
      </c>
      <c r="E416" s="9" t="s">
        <v>16</v>
      </c>
      <c r="F416" s="11" t="s">
        <v>17</v>
      </c>
    </row>
    <row r="417" spans="1:6" x14ac:dyDescent="0.3">
      <c r="A417" s="5">
        <v>1416</v>
      </c>
      <c r="B417" s="5" t="s">
        <v>6</v>
      </c>
      <c r="C417" s="12">
        <v>93651</v>
      </c>
      <c r="D417" s="5">
        <v>42</v>
      </c>
      <c r="E417" s="5" t="s">
        <v>19</v>
      </c>
      <c r="F417" s="4" t="s">
        <v>23</v>
      </c>
    </row>
    <row r="418" spans="1:6" x14ac:dyDescent="0.3">
      <c r="A418" s="9">
        <v>1417</v>
      </c>
      <c r="B418" s="9" t="s">
        <v>15</v>
      </c>
      <c r="C418" s="10">
        <v>40003</v>
      </c>
      <c r="D418" s="9">
        <v>75</v>
      </c>
      <c r="E418" s="9" t="s">
        <v>10</v>
      </c>
      <c r="F418" s="11" t="s">
        <v>23</v>
      </c>
    </row>
    <row r="419" spans="1:6" x14ac:dyDescent="0.3">
      <c r="A419" s="5">
        <v>1418</v>
      </c>
      <c r="B419" s="5" t="s">
        <v>9</v>
      </c>
      <c r="C419" s="12">
        <v>16506</v>
      </c>
      <c r="D419" s="5">
        <v>85</v>
      </c>
      <c r="E419" s="5" t="s">
        <v>27</v>
      </c>
      <c r="F419" s="4" t="s">
        <v>23</v>
      </c>
    </row>
    <row r="420" spans="1:6" x14ac:dyDescent="0.3">
      <c r="A420" s="9">
        <v>1419</v>
      </c>
      <c r="B420" s="9" t="s">
        <v>12</v>
      </c>
      <c r="C420" s="10">
        <v>44831</v>
      </c>
      <c r="D420" s="9">
        <v>85</v>
      </c>
      <c r="E420" s="9" t="s">
        <v>7</v>
      </c>
      <c r="F420" s="11" t="s">
        <v>23</v>
      </c>
    </row>
    <row r="421" spans="1:6" x14ac:dyDescent="0.3">
      <c r="A421" s="5">
        <v>1420</v>
      </c>
      <c r="B421" s="5" t="s">
        <v>28</v>
      </c>
      <c r="C421" s="12">
        <v>38471</v>
      </c>
      <c r="D421" s="5">
        <v>49</v>
      </c>
      <c r="E421" s="5" t="s">
        <v>22</v>
      </c>
      <c r="F421" s="4" t="s">
        <v>29</v>
      </c>
    </row>
    <row r="422" spans="1:6" x14ac:dyDescent="0.3">
      <c r="A422" s="9">
        <v>1421</v>
      </c>
      <c r="B422" s="9" t="s">
        <v>12</v>
      </c>
      <c r="C422" s="10">
        <v>10411</v>
      </c>
      <c r="D422" s="9">
        <v>6</v>
      </c>
      <c r="E422" s="9" t="s">
        <v>7</v>
      </c>
      <c r="F422" s="11" t="s">
        <v>30</v>
      </c>
    </row>
    <row r="423" spans="1:6" x14ac:dyDescent="0.3">
      <c r="A423" s="5">
        <v>1422</v>
      </c>
      <c r="B423" s="5" t="s">
        <v>25</v>
      </c>
      <c r="C423" s="12">
        <v>105412</v>
      </c>
      <c r="D423" s="5">
        <v>82</v>
      </c>
      <c r="E423" s="5" t="s">
        <v>13</v>
      </c>
      <c r="F423" s="4" t="s">
        <v>20</v>
      </c>
    </row>
    <row r="424" spans="1:6" x14ac:dyDescent="0.3">
      <c r="A424" s="9">
        <v>1423</v>
      </c>
      <c r="B424" s="9" t="s">
        <v>28</v>
      </c>
      <c r="C424" s="10">
        <v>1151</v>
      </c>
      <c r="D424" s="9">
        <v>75</v>
      </c>
      <c r="E424" s="9" t="s">
        <v>16</v>
      </c>
      <c r="F424" s="11" t="s">
        <v>30</v>
      </c>
    </row>
    <row r="425" spans="1:6" x14ac:dyDescent="0.3">
      <c r="A425" s="5">
        <v>1424</v>
      </c>
      <c r="B425" s="5" t="s">
        <v>18</v>
      </c>
      <c r="C425" s="12">
        <v>72852</v>
      </c>
      <c r="D425" s="5">
        <v>47</v>
      </c>
      <c r="E425" s="5" t="s">
        <v>19</v>
      </c>
      <c r="F425" s="4" t="s">
        <v>23</v>
      </c>
    </row>
    <row r="426" spans="1:6" x14ac:dyDescent="0.3">
      <c r="A426" s="9">
        <v>1425</v>
      </c>
      <c r="B426" s="9" t="s">
        <v>18</v>
      </c>
      <c r="C426" s="10">
        <v>162493</v>
      </c>
      <c r="D426" s="9">
        <v>68</v>
      </c>
      <c r="E426" s="9" t="s">
        <v>34</v>
      </c>
      <c r="F426" s="11" t="s">
        <v>20</v>
      </c>
    </row>
    <row r="427" spans="1:6" x14ac:dyDescent="0.3">
      <c r="A427" s="5">
        <v>1426</v>
      </c>
      <c r="B427" s="5" t="s">
        <v>15</v>
      </c>
      <c r="C427" s="12">
        <v>23103</v>
      </c>
      <c r="D427" s="5">
        <v>91</v>
      </c>
      <c r="E427" s="5" t="s">
        <v>27</v>
      </c>
      <c r="F427" s="4" t="s">
        <v>14</v>
      </c>
    </row>
    <row r="428" spans="1:6" x14ac:dyDescent="0.3">
      <c r="A428" s="9">
        <v>1427</v>
      </c>
      <c r="B428" s="9" t="s">
        <v>18</v>
      </c>
      <c r="C428" s="10">
        <v>177037</v>
      </c>
      <c r="D428" s="9">
        <v>43</v>
      </c>
      <c r="E428" s="9" t="s">
        <v>27</v>
      </c>
      <c r="F428" s="11" t="s">
        <v>30</v>
      </c>
    </row>
    <row r="429" spans="1:6" x14ac:dyDescent="0.3">
      <c r="A429" s="5">
        <v>1428</v>
      </c>
      <c r="B429" s="5" t="s">
        <v>21</v>
      </c>
      <c r="C429" s="12">
        <v>119810</v>
      </c>
      <c r="D429" s="5">
        <v>48</v>
      </c>
      <c r="E429" s="5" t="s">
        <v>10</v>
      </c>
      <c r="F429" s="4" t="s">
        <v>23</v>
      </c>
    </row>
    <row r="430" spans="1:6" x14ac:dyDescent="0.3">
      <c r="A430" s="9">
        <v>1429</v>
      </c>
      <c r="B430" s="9" t="s">
        <v>6</v>
      </c>
      <c r="C430" s="10">
        <v>117223</v>
      </c>
      <c r="D430" s="9">
        <v>87</v>
      </c>
      <c r="E430" s="9" t="s">
        <v>7</v>
      </c>
      <c r="F430" s="11" t="s">
        <v>14</v>
      </c>
    </row>
    <row r="431" spans="1:6" x14ac:dyDescent="0.3">
      <c r="A431" s="5">
        <v>1430</v>
      </c>
      <c r="B431" s="5" t="s">
        <v>12</v>
      </c>
      <c r="C431" s="12">
        <v>36275</v>
      </c>
      <c r="D431" s="5">
        <v>87</v>
      </c>
      <c r="E431" s="5" t="s">
        <v>13</v>
      </c>
      <c r="F431" s="4" t="s">
        <v>14</v>
      </c>
    </row>
    <row r="432" spans="1:6" x14ac:dyDescent="0.3">
      <c r="A432" s="9">
        <v>1431</v>
      </c>
      <c r="B432" s="9" t="s">
        <v>6</v>
      </c>
      <c r="C432" s="10">
        <v>133180</v>
      </c>
      <c r="D432" s="9">
        <v>83</v>
      </c>
      <c r="E432" s="9" t="s">
        <v>26</v>
      </c>
      <c r="F432" s="11" t="s">
        <v>17</v>
      </c>
    </row>
    <row r="433" spans="1:6" x14ac:dyDescent="0.3">
      <c r="A433" s="5">
        <v>1432</v>
      </c>
      <c r="B433" s="5" t="s">
        <v>21</v>
      </c>
      <c r="C433" s="12">
        <v>42590</v>
      </c>
      <c r="D433" s="5">
        <v>50</v>
      </c>
      <c r="E433" s="5" t="s">
        <v>7</v>
      </c>
      <c r="F433" s="4" t="s">
        <v>29</v>
      </c>
    </row>
    <row r="434" spans="1:6" x14ac:dyDescent="0.3">
      <c r="A434" s="9">
        <v>1433</v>
      </c>
      <c r="B434" s="9" t="s">
        <v>31</v>
      </c>
      <c r="C434" s="10">
        <v>62780</v>
      </c>
      <c r="D434" s="9">
        <v>90</v>
      </c>
      <c r="E434" s="9" t="s">
        <v>26</v>
      </c>
      <c r="F434" s="11" t="s">
        <v>8</v>
      </c>
    </row>
    <row r="435" spans="1:6" x14ac:dyDescent="0.3">
      <c r="A435" s="5">
        <v>1434</v>
      </c>
      <c r="B435" s="5" t="s">
        <v>6</v>
      </c>
      <c r="C435" s="12">
        <v>127340</v>
      </c>
      <c r="D435" s="5">
        <v>31</v>
      </c>
      <c r="E435" s="5" t="s">
        <v>13</v>
      </c>
      <c r="F435" s="4" t="s">
        <v>23</v>
      </c>
    </row>
    <row r="436" spans="1:6" x14ac:dyDescent="0.3">
      <c r="A436" s="9">
        <v>1435</v>
      </c>
      <c r="B436" s="9" t="s">
        <v>15</v>
      </c>
      <c r="C436" s="10">
        <v>83889</v>
      </c>
      <c r="D436" s="9">
        <v>27</v>
      </c>
      <c r="E436" s="9" t="s">
        <v>26</v>
      </c>
      <c r="F436" s="11" t="s">
        <v>14</v>
      </c>
    </row>
    <row r="437" spans="1:6" x14ac:dyDescent="0.3">
      <c r="A437" s="5">
        <v>1436</v>
      </c>
      <c r="B437" s="5" t="s">
        <v>31</v>
      </c>
      <c r="C437" s="12">
        <v>58963</v>
      </c>
      <c r="D437" s="5">
        <v>37</v>
      </c>
      <c r="E437" s="5" t="s">
        <v>34</v>
      </c>
      <c r="F437" s="4" t="s">
        <v>30</v>
      </c>
    </row>
    <row r="438" spans="1:6" x14ac:dyDescent="0.3">
      <c r="A438" s="9">
        <v>1437</v>
      </c>
      <c r="B438" s="9" t="s">
        <v>21</v>
      </c>
      <c r="C438" s="10">
        <v>113328</v>
      </c>
      <c r="D438" s="9">
        <v>46</v>
      </c>
      <c r="E438" s="9" t="s">
        <v>19</v>
      </c>
      <c r="F438" s="11" t="s">
        <v>30</v>
      </c>
    </row>
    <row r="439" spans="1:6" x14ac:dyDescent="0.3">
      <c r="A439" s="5">
        <v>1438</v>
      </c>
      <c r="B439" s="5" t="s">
        <v>15</v>
      </c>
      <c r="C439" s="12">
        <v>19850</v>
      </c>
      <c r="D439" s="5">
        <v>12</v>
      </c>
      <c r="E439" s="5" t="s">
        <v>34</v>
      </c>
      <c r="F439" s="4" t="s">
        <v>20</v>
      </c>
    </row>
    <row r="440" spans="1:6" x14ac:dyDescent="0.3">
      <c r="A440" s="9">
        <v>1439</v>
      </c>
      <c r="B440" s="9" t="s">
        <v>12</v>
      </c>
      <c r="C440" s="10">
        <v>40255</v>
      </c>
      <c r="D440" s="9">
        <v>67</v>
      </c>
      <c r="E440" s="9" t="s">
        <v>26</v>
      </c>
      <c r="F440" s="11" t="s">
        <v>30</v>
      </c>
    </row>
    <row r="441" spans="1:6" x14ac:dyDescent="0.3">
      <c r="A441" s="5">
        <v>1440</v>
      </c>
      <c r="B441" s="5" t="s">
        <v>18</v>
      </c>
      <c r="C441" s="12">
        <v>4562</v>
      </c>
      <c r="D441" s="5">
        <v>21</v>
      </c>
      <c r="E441" s="5" t="s">
        <v>10</v>
      </c>
      <c r="F441" s="4" t="s">
        <v>33</v>
      </c>
    </row>
    <row r="442" spans="1:6" x14ac:dyDescent="0.3">
      <c r="A442" s="9">
        <v>1441</v>
      </c>
      <c r="B442" s="9" t="s">
        <v>24</v>
      </c>
      <c r="C442" s="10">
        <v>152586</v>
      </c>
      <c r="D442" s="9">
        <v>14</v>
      </c>
      <c r="E442" s="9" t="s">
        <v>10</v>
      </c>
      <c r="F442" s="11" t="s">
        <v>14</v>
      </c>
    </row>
    <row r="443" spans="1:6" x14ac:dyDescent="0.3">
      <c r="A443" s="5">
        <v>1442</v>
      </c>
      <c r="B443" s="5" t="s">
        <v>21</v>
      </c>
      <c r="C443" s="12">
        <v>6192</v>
      </c>
      <c r="D443" s="5">
        <v>49</v>
      </c>
      <c r="E443" s="5" t="s">
        <v>22</v>
      </c>
      <c r="F443" s="4" t="s">
        <v>20</v>
      </c>
    </row>
    <row r="444" spans="1:6" x14ac:dyDescent="0.3">
      <c r="A444" s="9">
        <v>1443</v>
      </c>
      <c r="B444" s="9" t="s">
        <v>24</v>
      </c>
      <c r="C444" s="10">
        <v>154842</v>
      </c>
      <c r="D444" s="9">
        <v>36</v>
      </c>
      <c r="E444" s="9" t="s">
        <v>7</v>
      </c>
      <c r="F444" s="11" t="s">
        <v>14</v>
      </c>
    </row>
    <row r="445" spans="1:6" x14ac:dyDescent="0.3">
      <c r="A445" s="5">
        <v>1444</v>
      </c>
      <c r="B445" s="5" t="s">
        <v>6</v>
      </c>
      <c r="C445" s="12">
        <v>67520</v>
      </c>
      <c r="D445" s="5">
        <v>55</v>
      </c>
      <c r="E445" s="5" t="s">
        <v>16</v>
      </c>
      <c r="F445" s="4" t="s">
        <v>29</v>
      </c>
    </row>
    <row r="446" spans="1:6" x14ac:dyDescent="0.3">
      <c r="A446" s="9">
        <v>1445</v>
      </c>
      <c r="B446" s="9" t="s">
        <v>15</v>
      </c>
      <c r="C446" s="10">
        <v>22963</v>
      </c>
      <c r="D446" s="9">
        <v>72</v>
      </c>
      <c r="E446" s="9" t="s">
        <v>7</v>
      </c>
      <c r="F446" s="11" t="s">
        <v>32</v>
      </c>
    </row>
    <row r="447" spans="1:6" x14ac:dyDescent="0.3">
      <c r="A447" s="5">
        <v>1446</v>
      </c>
      <c r="B447" s="5" t="s">
        <v>6</v>
      </c>
      <c r="C447" s="12">
        <v>79271</v>
      </c>
      <c r="D447" s="5">
        <v>66</v>
      </c>
      <c r="E447" s="5" t="s">
        <v>10</v>
      </c>
      <c r="F447" s="4" t="s">
        <v>20</v>
      </c>
    </row>
    <row r="448" spans="1:6" x14ac:dyDescent="0.3">
      <c r="A448" s="9">
        <v>1447</v>
      </c>
      <c r="B448" s="9" t="s">
        <v>25</v>
      </c>
      <c r="C448" s="10">
        <v>110250</v>
      </c>
      <c r="D448" s="9">
        <v>30</v>
      </c>
      <c r="E448" s="9" t="s">
        <v>10</v>
      </c>
      <c r="F448" s="11" t="s">
        <v>8</v>
      </c>
    </row>
    <row r="449" spans="1:6" x14ac:dyDescent="0.3">
      <c r="A449" s="5">
        <v>1448</v>
      </c>
      <c r="B449" s="5" t="s">
        <v>6</v>
      </c>
      <c r="C449" s="12">
        <v>7520</v>
      </c>
      <c r="D449" s="5">
        <v>66</v>
      </c>
      <c r="E449" s="5" t="s">
        <v>22</v>
      </c>
      <c r="F449" s="4" t="s">
        <v>17</v>
      </c>
    </row>
    <row r="450" spans="1:6" x14ac:dyDescent="0.3">
      <c r="A450" s="9">
        <v>1449</v>
      </c>
      <c r="B450" s="9" t="s">
        <v>18</v>
      </c>
      <c r="C450" s="10">
        <v>60063</v>
      </c>
      <c r="D450" s="9">
        <v>36</v>
      </c>
      <c r="E450" s="9" t="s">
        <v>19</v>
      </c>
      <c r="F450" s="11" t="s">
        <v>29</v>
      </c>
    </row>
    <row r="451" spans="1:6" x14ac:dyDescent="0.3">
      <c r="A451" s="5">
        <v>1450</v>
      </c>
      <c r="B451" s="5" t="s">
        <v>21</v>
      </c>
      <c r="C451" s="12">
        <v>39975</v>
      </c>
      <c r="D451" s="5">
        <v>37</v>
      </c>
      <c r="E451" s="5" t="s">
        <v>34</v>
      </c>
      <c r="F451" s="4" t="s">
        <v>14</v>
      </c>
    </row>
    <row r="452" spans="1:6" x14ac:dyDescent="0.3">
      <c r="A452" s="9">
        <v>1451</v>
      </c>
      <c r="B452" s="9" t="s">
        <v>15</v>
      </c>
      <c r="C452" s="10">
        <v>129599</v>
      </c>
      <c r="D452" s="9">
        <v>82</v>
      </c>
      <c r="E452" s="9" t="s">
        <v>22</v>
      </c>
      <c r="F452" s="11" t="s">
        <v>23</v>
      </c>
    </row>
    <row r="453" spans="1:6" x14ac:dyDescent="0.3">
      <c r="A453" s="5">
        <v>1452</v>
      </c>
      <c r="B453" s="5" t="s">
        <v>6</v>
      </c>
      <c r="C453" s="12">
        <v>117939</v>
      </c>
      <c r="D453" s="5">
        <v>88</v>
      </c>
      <c r="E453" s="5" t="s">
        <v>16</v>
      </c>
      <c r="F453" s="4" t="s">
        <v>14</v>
      </c>
    </row>
    <row r="454" spans="1:6" x14ac:dyDescent="0.3">
      <c r="A454" s="9">
        <v>1453</v>
      </c>
      <c r="B454" s="9" t="s">
        <v>31</v>
      </c>
      <c r="C454" s="10">
        <v>102164</v>
      </c>
      <c r="D454" s="9">
        <v>80</v>
      </c>
      <c r="E454" s="9" t="s">
        <v>16</v>
      </c>
      <c r="F454" s="11" t="s">
        <v>29</v>
      </c>
    </row>
    <row r="455" spans="1:6" x14ac:dyDescent="0.3">
      <c r="A455" s="5">
        <v>1454</v>
      </c>
      <c r="B455" s="5" t="s">
        <v>9</v>
      </c>
      <c r="C455" s="12">
        <v>109577</v>
      </c>
      <c r="D455" s="5">
        <v>54</v>
      </c>
      <c r="E455" s="5" t="s">
        <v>7</v>
      </c>
      <c r="F455" s="4" t="s">
        <v>11</v>
      </c>
    </row>
    <row r="456" spans="1:6" x14ac:dyDescent="0.3">
      <c r="A456" s="9">
        <v>1455</v>
      </c>
      <c r="B456" s="9" t="s">
        <v>12</v>
      </c>
      <c r="C456" s="10">
        <v>17838</v>
      </c>
      <c r="D456" s="9">
        <v>71</v>
      </c>
      <c r="E456" s="9" t="s">
        <v>19</v>
      </c>
      <c r="F456" s="11" t="s">
        <v>32</v>
      </c>
    </row>
    <row r="457" spans="1:6" x14ac:dyDescent="0.3">
      <c r="A457" s="5">
        <v>1456</v>
      </c>
      <c r="B457" s="5" t="s">
        <v>15</v>
      </c>
      <c r="C457" s="12">
        <v>131918</v>
      </c>
      <c r="D457" s="5">
        <v>12</v>
      </c>
      <c r="E457" s="5" t="s">
        <v>10</v>
      </c>
      <c r="F457" s="4" t="s">
        <v>23</v>
      </c>
    </row>
    <row r="458" spans="1:6" x14ac:dyDescent="0.3">
      <c r="A458" s="9">
        <v>1457</v>
      </c>
      <c r="B458" s="9" t="s">
        <v>9</v>
      </c>
      <c r="C458" s="10">
        <v>143321</v>
      </c>
      <c r="D458" s="9">
        <v>49</v>
      </c>
      <c r="E458" s="9" t="s">
        <v>26</v>
      </c>
      <c r="F458" s="11" t="s">
        <v>14</v>
      </c>
    </row>
    <row r="459" spans="1:6" x14ac:dyDescent="0.3">
      <c r="A459" s="5">
        <v>1458</v>
      </c>
      <c r="B459" s="5" t="s">
        <v>24</v>
      </c>
      <c r="C459" s="12">
        <v>161702</v>
      </c>
      <c r="D459" s="5">
        <v>26</v>
      </c>
      <c r="E459" s="5" t="s">
        <v>16</v>
      </c>
      <c r="F459" s="4" t="s">
        <v>8</v>
      </c>
    </row>
    <row r="460" spans="1:6" x14ac:dyDescent="0.3">
      <c r="A460" s="9">
        <v>1459</v>
      </c>
      <c r="B460" s="9" t="s">
        <v>12</v>
      </c>
      <c r="C460" s="10">
        <v>57886</v>
      </c>
      <c r="D460" s="9">
        <v>80</v>
      </c>
      <c r="E460" s="9" t="s">
        <v>7</v>
      </c>
      <c r="F460" s="11" t="s">
        <v>17</v>
      </c>
    </row>
    <row r="461" spans="1:6" x14ac:dyDescent="0.3">
      <c r="A461" s="5">
        <v>1460</v>
      </c>
      <c r="B461" s="5" t="s">
        <v>24</v>
      </c>
      <c r="C461" s="12">
        <v>113481</v>
      </c>
      <c r="D461" s="5">
        <v>82</v>
      </c>
      <c r="E461" s="5" t="s">
        <v>22</v>
      </c>
      <c r="F461" s="4" t="s">
        <v>20</v>
      </c>
    </row>
    <row r="462" spans="1:6" x14ac:dyDescent="0.3">
      <c r="A462" s="9">
        <v>1461</v>
      </c>
      <c r="B462" s="9" t="s">
        <v>24</v>
      </c>
      <c r="C462" s="10">
        <v>148804</v>
      </c>
      <c r="D462" s="9">
        <v>85</v>
      </c>
      <c r="E462" s="9" t="s">
        <v>10</v>
      </c>
      <c r="F462" s="11" t="s">
        <v>11</v>
      </c>
    </row>
    <row r="463" spans="1:6" x14ac:dyDescent="0.3">
      <c r="A463" s="5">
        <v>1462</v>
      </c>
      <c r="B463" s="5" t="s">
        <v>21</v>
      </c>
      <c r="C463" s="12">
        <v>100600</v>
      </c>
      <c r="D463" s="5">
        <v>40</v>
      </c>
      <c r="E463" s="5" t="s">
        <v>22</v>
      </c>
      <c r="F463" s="4" t="s">
        <v>23</v>
      </c>
    </row>
    <row r="464" spans="1:6" x14ac:dyDescent="0.3">
      <c r="A464" s="9">
        <v>1463</v>
      </c>
      <c r="B464" s="9" t="s">
        <v>31</v>
      </c>
      <c r="C464" s="10">
        <v>157721</v>
      </c>
      <c r="D464" s="9">
        <v>70</v>
      </c>
      <c r="E464" s="9" t="s">
        <v>34</v>
      </c>
      <c r="F464" s="11" t="s">
        <v>29</v>
      </c>
    </row>
    <row r="465" spans="1:6" x14ac:dyDescent="0.3">
      <c r="A465" s="5">
        <v>1464</v>
      </c>
      <c r="B465" s="5" t="s">
        <v>28</v>
      </c>
      <c r="C465" s="12">
        <v>64816</v>
      </c>
      <c r="D465" s="5">
        <v>60</v>
      </c>
      <c r="E465" s="5" t="s">
        <v>27</v>
      </c>
      <c r="F465" s="4" t="s">
        <v>29</v>
      </c>
    </row>
    <row r="466" spans="1:6" x14ac:dyDescent="0.3">
      <c r="A466" s="9">
        <v>1465</v>
      </c>
      <c r="B466" s="9" t="s">
        <v>31</v>
      </c>
      <c r="C466" s="10">
        <v>26658</v>
      </c>
      <c r="D466" s="9">
        <v>65</v>
      </c>
      <c r="E466" s="9" t="s">
        <v>7</v>
      </c>
      <c r="F466" s="11" t="s">
        <v>30</v>
      </c>
    </row>
    <row r="467" spans="1:6" x14ac:dyDescent="0.3">
      <c r="A467" s="5">
        <v>1466</v>
      </c>
      <c r="B467" s="5" t="s">
        <v>15</v>
      </c>
      <c r="C467" s="12">
        <v>59399</v>
      </c>
      <c r="D467" s="5">
        <v>52</v>
      </c>
      <c r="E467" s="5" t="s">
        <v>26</v>
      </c>
      <c r="F467" s="4" t="s">
        <v>23</v>
      </c>
    </row>
    <row r="468" spans="1:6" x14ac:dyDescent="0.3">
      <c r="A468" s="9">
        <v>1467</v>
      </c>
      <c r="B468" s="9" t="s">
        <v>24</v>
      </c>
      <c r="C468" s="10">
        <v>118050</v>
      </c>
      <c r="D468" s="9">
        <v>33</v>
      </c>
      <c r="E468" s="9" t="s">
        <v>16</v>
      </c>
      <c r="F468" s="11" t="s">
        <v>33</v>
      </c>
    </row>
    <row r="469" spans="1:6" x14ac:dyDescent="0.3">
      <c r="A469" s="5">
        <v>1468</v>
      </c>
      <c r="B469" s="5" t="s">
        <v>28</v>
      </c>
      <c r="C469" s="12">
        <v>110279</v>
      </c>
      <c r="D469" s="5">
        <v>18</v>
      </c>
      <c r="E469" s="5" t="s">
        <v>16</v>
      </c>
      <c r="F469" s="4" t="s">
        <v>20</v>
      </c>
    </row>
    <row r="470" spans="1:6" x14ac:dyDescent="0.3">
      <c r="A470" s="9">
        <v>1469</v>
      </c>
      <c r="B470" s="9" t="s">
        <v>15</v>
      </c>
      <c r="C470" s="10">
        <v>21521</v>
      </c>
      <c r="D470" s="9">
        <v>82</v>
      </c>
      <c r="E470" s="9" t="s">
        <v>10</v>
      </c>
      <c r="F470" s="11" t="s">
        <v>8</v>
      </c>
    </row>
    <row r="471" spans="1:6" x14ac:dyDescent="0.3">
      <c r="A471" s="5">
        <v>1470</v>
      </c>
      <c r="B471" s="5" t="s">
        <v>28</v>
      </c>
      <c r="C471" s="12">
        <v>148860</v>
      </c>
      <c r="D471" s="5">
        <v>64</v>
      </c>
      <c r="E471" s="5" t="s">
        <v>7</v>
      </c>
      <c r="F471" s="4" t="s">
        <v>17</v>
      </c>
    </row>
    <row r="472" spans="1:6" x14ac:dyDescent="0.3">
      <c r="A472" s="9">
        <v>1471</v>
      </c>
      <c r="B472" s="9" t="s">
        <v>21</v>
      </c>
      <c r="C472" s="10">
        <v>26058</v>
      </c>
      <c r="D472" s="9">
        <v>42</v>
      </c>
      <c r="E472" s="9" t="s">
        <v>7</v>
      </c>
      <c r="F472" s="11" t="s">
        <v>32</v>
      </c>
    </row>
    <row r="473" spans="1:6" x14ac:dyDescent="0.3">
      <c r="A473" s="5">
        <v>1472</v>
      </c>
      <c r="B473" s="5" t="s">
        <v>21</v>
      </c>
      <c r="C473" s="12">
        <v>38469</v>
      </c>
      <c r="D473" s="5">
        <v>65</v>
      </c>
      <c r="E473" s="5" t="s">
        <v>34</v>
      </c>
      <c r="F473" s="4" t="s">
        <v>33</v>
      </c>
    </row>
    <row r="474" spans="1:6" x14ac:dyDescent="0.3">
      <c r="A474" s="9">
        <v>1473</v>
      </c>
      <c r="B474" s="9" t="s">
        <v>28</v>
      </c>
      <c r="C474" s="10">
        <v>19227</v>
      </c>
      <c r="D474" s="9">
        <v>79</v>
      </c>
      <c r="E474" s="9" t="s">
        <v>34</v>
      </c>
      <c r="F474" s="11" t="s">
        <v>11</v>
      </c>
    </row>
    <row r="475" spans="1:6" x14ac:dyDescent="0.3">
      <c r="A475" s="5">
        <v>1474</v>
      </c>
      <c r="B475" s="5" t="s">
        <v>15</v>
      </c>
      <c r="C475" s="12">
        <v>38009</v>
      </c>
      <c r="D475" s="5">
        <v>51</v>
      </c>
      <c r="E475" s="5" t="s">
        <v>26</v>
      </c>
      <c r="F475" s="4" t="s">
        <v>30</v>
      </c>
    </row>
    <row r="476" spans="1:6" x14ac:dyDescent="0.3">
      <c r="A476" s="9">
        <v>1475</v>
      </c>
      <c r="B476" s="9" t="s">
        <v>12</v>
      </c>
      <c r="C476" s="10">
        <v>174754</v>
      </c>
      <c r="D476" s="9">
        <v>94</v>
      </c>
      <c r="E476" s="9" t="s">
        <v>26</v>
      </c>
      <c r="F476" s="11" t="s">
        <v>32</v>
      </c>
    </row>
    <row r="477" spans="1:6" x14ac:dyDescent="0.3">
      <c r="A477" s="5">
        <v>1476</v>
      </c>
      <c r="B477" s="5" t="s">
        <v>15</v>
      </c>
      <c r="C477" s="12">
        <v>178988</v>
      </c>
      <c r="D477" s="5">
        <v>65</v>
      </c>
      <c r="E477" s="5" t="s">
        <v>10</v>
      </c>
      <c r="F477" s="4" t="s">
        <v>23</v>
      </c>
    </row>
    <row r="478" spans="1:6" x14ac:dyDescent="0.3">
      <c r="A478" s="9">
        <v>1477</v>
      </c>
      <c r="B478" s="9" t="s">
        <v>28</v>
      </c>
      <c r="C478" s="10">
        <v>193704</v>
      </c>
      <c r="D478" s="9">
        <v>14</v>
      </c>
      <c r="E478" s="9" t="s">
        <v>19</v>
      </c>
      <c r="F478" s="11" t="s">
        <v>33</v>
      </c>
    </row>
    <row r="479" spans="1:6" x14ac:dyDescent="0.3">
      <c r="A479" s="5">
        <v>1478</v>
      </c>
      <c r="B479" s="5" t="s">
        <v>6</v>
      </c>
      <c r="C479" s="12">
        <v>195133</v>
      </c>
      <c r="D479" s="5">
        <v>97</v>
      </c>
      <c r="E479" s="5" t="s">
        <v>19</v>
      </c>
      <c r="F479" s="4" t="s">
        <v>14</v>
      </c>
    </row>
    <row r="480" spans="1:6" x14ac:dyDescent="0.3">
      <c r="A480" s="9">
        <v>1479</v>
      </c>
      <c r="B480" s="9" t="s">
        <v>28</v>
      </c>
      <c r="C480" s="10">
        <v>76911</v>
      </c>
      <c r="D480" s="9">
        <v>77</v>
      </c>
      <c r="E480" s="9" t="s">
        <v>13</v>
      </c>
      <c r="F480" s="11" t="s">
        <v>20</v>
      </c>
    </row>
    <row r="481" spans="1:6" x14ac:dyDescent="0.3">
      <c r="A481" s="5">
        <v>1480</v>
      </c>
      <c r="B481" s="5" t="s">
        <v>21</v>
      </c>
      <c r="C481" s="12">
        <v>53941</v>
      </c>
      <c r="D481" s="5">
        <v>86</v>
      </c>
      <c r="E481" s="5" t="s">
        <v>13</v>
      </c>
      <c r="F481" s="4" t="s">
        <v>11</v>
      </c>
    </row>
    <row r="482" spans="1:6" x14ac:dyDescent="0.3">
      <c r="A482" s="9">
        <v>1481</v>
      </c>
      <c r="B482" s="9" t="s">
        <v>31</v>
      </c>
      <c r="C482" s="10">
        <v>31145</v>
      </c>
      <c r="D482" s="9">
        <v>24</v>
      </c>
      <c r="E482" s="9" t="s">
        <v>34</v>
      </c>
      <c r="F482" s="11" t="s">
        <v>30</v>
      </c>
    </row>
    <row r="483" spans="1:6" x14ac:dyDescent="0.3">
      <c r="A483" s="5">
        <v>1482</v>
      </c>
      <c r="B483" s="5" t="s">
        <v>28</v>
      </c>
      <c r="C483" s="12">
        <v>159009</v>
      </c>
      <c r="D483" s="5">
        <v>76</v>
      </c>
      <c r="E483" s="5" t="s">
        <v>26</v>
      </c>
      <c r="F483" s="4" t="s">
        <v>8</v>
      </c>
    </row>
    <row r="484" spans="1:6" x14ac:dyDescent="0.3">
      <c r="A484" s="9">
        <v>1483</v>
      </c>
      <c r="B484" s="9" t="s">
        <v>9</v>
      </c>
      <c r="C484" s="10">
        <v>79231</v>
      </c>
      <c r="D484" s="9">
        <v>43</v>
      </c>
      <c r="E484" s="9" t="s">
        <v>13</v>
      </c>
      <c r="F484" s="11" t="s">
        <v>20</v>
      </c>
    </row>
    <row r="485" spans="1:6" x14ac:dyDescent="0.3">
      <c r="A485" s="5">
        <v>1484</v>
      </c>
      <c r="B485" s="5" t="s">
        <v>21</v>
      </c>
      <c r="C485" s="12">
        <v>50560</v>
      </c>
      <c r="D485" s="5">
        <v>90</v>
      </c>
      <c r="E485" s="5" t="s">
        <v>13</v>
      </c>
      <c r="F485" s="4" t="s">
        <v>32</v>
      </c>
    </row>
    <row r="486" spans="1:6" x14ac:dyDescent="0.3">
      <c r="A486" s="9">
        <v>1485</v>
      </c>
      <c r="B486" s="9" t="s">
        <v>6</v>
      </c>
      <c r="C486" s="10">
        <v>190648</v>
      </c>
      <c r="D486" s="9">
        <v>5</v>
      </c>
      <c r="E486" s="9" t="s">
        <v>10</v>
      </c>
      <c r="F486" s="11" t="s">
        <v>33</v>
      </c>
    </row>
    <row r="487" spans="1:6" x14ac:dyDescent="0.3">
      <c r="A487" s="5">
        <v>1486</v>
      </c>
      <c r="B487" s="5" t="s">
        <v>28</v>
      </c>
      <c r="C487" s="12">
        <v>163516</v>
      </c>
      <c r="D487" s="5">
        <v>90</v>
      </c>
      <c r="E487" s="5" t="s">
        <v>7</v>
      </c>
      <c r="F487" s="4" t="s">
        <v>8</v>
      </c>
    </row>
    <row r="488" spans="1:6" x14ac:dyDescent="0.3">
      <c r="A488" s="9">
        <v>1487</v>
      </c>
      <c r="B488" s="9" t="s">
        <v>21</v>
      </c>
      <c r="C488" s="10">
        <v>171711</v>
      </c>
      <c r="D488" s="9">
        <v>49</v>
      </c>
      <c r="E488" s="9" t="s">
        <v>22</v>
      </c>
      <c r="F488" s="11" t="s">
        <v>17</v>
      </c>
    </row>
    <row r="489" spans="1:6" x14ac:dyDescent="0.3">
      <c r="A489" s="5">
        <v>1488</v>
      </c>
      <c r="B489" s="5" t="s">
        <v>9</v>
      </c>
      <c r="C489" s="12">
        <v>160629</v>
      </c>
      <c r="D489" s="5">
        <v>73</v>
      </c>
      <c r="E489" s="5" t="s">
        <v>27</v>
      </c>
      <c r="F489" s="4" t="s">
        <v>30</v>
      </c>
    </row>
    <row r="490" spans="1:6" x14ac:dyDescent="0.3">
      <c r="A490" s="9">
        <v>1489</v>
      </c>
      <c r="B490" s="9" t="s">
        <v>15</v>
      </c>
      <c r="C490" s="10">
        <v>176371</v>
      </c>
      <c r="D490" s="9">
        <v>9</v>
      </c>
      <c r="E490" s="9" t="s">
        <v>16</v>
      </c>
      <c r="F490" s="11" t="s">
        <v>23</v>
      </c>
    </row>
    <row r="491" spans="1:6" x14ac:dyDescent="0.3">
      <c r="A491" s="5">
        <v>1490</v>
      </c>
      <c r="B491" s="5" t="s">
        <v>18</v>
      </c>
      <c r="C491" s="12">
        <v>152032</v>
      </c>
      <c r="D491" s="5">
        <v>18</v>
      </c>
      <c r="E491" s="5" t="s">
        <v>10</v>
      </c>
      <c r="F491" s="4" t="s">
        <v>23</v>
      </c>
    </row>
    <row r="492" spans="1:6" x14ac:dyDescent="0.3">
      <c r="A492" s="9">
        <v>1491</v>
      </c>
      <c r="B492" s="9" t="s">
        <v>25</v>
      </c>
      <c r="C492" s="10">
        <v>7381</v>
      </c>
      <c r="D492" s="9">
        <v>65</v>
      </c>
      <c r="E492" s="9" t="s">
        <v>27</v>
      </c>
      <c r="F492" s="11" t="s">
        <v>33</v>
      </c>
    </row>
    <row r="493" spans="1:6" x14ac:dyDescent="0.3">
      <c r="A493" s="5">
        <v>1492</v>
      </c>
      <c r="B493" s="5" t="s">
        <v>15</v>
      </c>
      <c r="C493" s="12">
        <v>103893</v>
      </c>
      <c r="D493" s="5">
        <v>57</v>
      </c>
      <c r="E493" s="5" t="s">
        <v>22</v>
      </c>
      <c r="F493" s="4" t="s">
        <v>33</v>
      </c>
    </row>
    <row r="494" spans="1:6" x14ac:dyDescent="0.3">
      <c r="A494" s="9">
        <v>1493</v>
      </c>
      <c r="B494" s="9" t="s">
        <v>28</v>
      </c>
      <c r="C494" s="10">
        <v>193236</v>
      </c>
      <c r="D494" s="9">
        <v>57</v>
      </c>
      <c r="E494" s="9" t="s">
        <v>13</v>
      </c>
      <c r="F494" s="11" t="s">
        <v>8</v>
      </c>
    </row>
    <row r="495" spans="1:6" x14ac:dyDescent="0.3">
      <c r="A495" s="5">
        <v>1494</v>
      </c>
      <c r="B495" s="5" t="s">
        <v>12</v>
      </c>
      <c r="C495" s="12">
        <v>162654</v>
      </c>
      <c r="D495" s="5">
        <v>61</v>
      </c>
      <c r="E495" s="5" t="s">
        <v>10</v>
      </c>
      <c r="F495" s="4" t="s">
        <v>17</v>
      </c>
    </row>
    <row r="496" spans="1:6" x14ac:dyDescent="0.3">
      <c r="A496" s="9">
        <v>1495</v>
      </c>
      <c r="B496" s="9" t="s">
        <v>21</v>
      </c>
      <c r="C496" s="10">
        <v>39438</v>
      </c>
      <c r="D496" s="9">
        <v>36</v>
      </c>
      <c r="E496" s="9" t="s">
        <v>13</v>
      </c>
      <c r="F496" s="11" t="s">
        <v>29</v>
      </c>
    </row>
    <row r="497" spans="1:6" x14ac:dyDescent="0.3">
      <c r="A497" s="5">
        <v>1496</v>
      </c>
      <c r="B497" s="5" t="s">
        <v>9</v>
      </c>
      <c r="C497" s="12">
        <v>35412</v>
      </c>
      <c r="D497" s="5">
        <v>63</v>
      </c>
      <c r="E497" s="5" t="s">
        <v>7</v>
      </c>
      <c r="F497" s="4" t="s">
        <v>20</v>
      </c>
    </row>
    <row r="498" spans="1:6" x14ac:dyDescent="0.3">
      <c r="A498" s="9">
        <v>1497</v>
      </c>
      <c r="B498" s="9" t="s">
        <v>24</v>
      </c>
      <c r="C498" s="10">
        <v>102520</v>
      </c>
      <c r="D498" s="9">
        <v>36</v>
      </c>
      <c r="E498" s="9" t="s">
        <v>34</v>
      </c>
      <c r="F498" s="11" t="s">
        <v>29</v>
      </c>
    </row>
    <row r="499" spans="1:6" x14ac:dyDescent="0.3">
      <c r="A499" s="5">
        <v>1498</v>
      </c>
      <c r="B499" s="5" t="s">
        <v>18</v>
      </c>
      <c r="C499" s="12">
        <v>71882</v>
      </c>
      <c r="D499" s="5">
        <v>12</v>
      </c>
      <c r="E499" s="5" t="s">
        <v>7</v>
      </c>
      <c r="F499" s="4" t="s">
        <v>32</v>
      </c>
    </row>
    <row r="500" spans="1:6" x14ac:dyDescent="0.3">
      <c r="A500" s="9">
        <v>1499</v>
      </c>
      <c r="B500" s="9" t="s">
        <v>24</v>
      </c>
      <c r="C500" s="10">
        <v>76130</v>
      </c>
      <c r="D500" s="9">
        <v>37</v>
      </c>
      <c r="E500" s="9" t="s">
        <v>19</v>
      </c>
      <c r="F500" s="11" t="s">
        <v>17</v>
      </c>
    </row>
    <row r="501" spans="1:6" x14ac:dyDescent="0.3">
      <c r="A501" s="2">
        <v>1500</v>
      </c>
      <c r="B501" s="2" t="s">
        <v>12</v>
      </c>
      <c r="C501" s="13">
        <v>14556</v>
      </c>
      <c r="D501" s="2">
        <v>45</v>
      </c>
      <c r="E501" s="2" t="s">
        <v>16</v>
      </c>
      <c r="F501" s="1" t="s">
        <v>30</v>
      </c>
    </row>
  </sheetData>
  <conditionalFormatting sqref="D1:D1048576">
    <cfRule type="cellIs" dxfId="81" priority="1" operator="lessThan">
      <formula>20</formula>
    </cfRule>
    <cfRule type="cellIs" dxfId="80" priority="2" operator="greaterThan">
      <formula>70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B8760-2760-42A5-BBA6-5C4A734066A7}">
  <sheetPr>
    <tabColor theme="3" tint="-0.249977111117893"/>
  </sheetPr>
  <dimension ref="A1:F501"/>
  <sheetViews>
    <sheetView workbookViewId="0">
      <selection activeCell="G17" sqref="G17"/>
    </sheetView>
  </sheetViews>
  <sheetFormatPr defaultRowHeight="14.4" x14ac:dyDescent="0.3"/>
  <cols>
    <col min="1" max="1" width="9.5546875" bestFit="1" customWidth="1"/>
    <col min="2" max="2" width="11.109375" bestFit="1" customWidth="1"/>
    <col min="5" max="5" width="10.44140625" bestFit="1" customWidth="1"/>
  </cols>
  <sheetData>
    <row r="1" spans="1:6" x14ac:dyDescent="0.3">
      <c r="A1" t="s">
        <v>0</v>
      </c>
      <c r="B1" t="s">
        <v>1</v>
      </c>
      <c r="C1" t="s">
        <v>2</v>
      </c>
      <c r="D1" t="s">
        <v>3</v>
      </c>
      <c r="E1" t="s">
        <v>4</v>
      </c>
      <c r="F1" t="s">
        <v>5</v>
      </c>
    </row>
    <row r="2" spans="1:6" x14ac:dyDescent="0.3">
      <c r="A2">
        <v>1001</v>
      </c>
      <c r="B2" t="s">
        <v>6</v>
      </c>
      <c r="C2">
        <v>185970</v>
      </c>
      <c r="D2">
        <v>23</v>
      </c>
      <c r="E2" t="s">
        <v>7</v>
      </c>
      <c r="F2" t="s">
        <v>8</v>
      </c>
    </row>
    <row r="3" spans="1:6" x14ac:dyDescent="0.3">
      <c r="A3">
        <v>1002</v>
      </c>
      <c r="B3" t="s">
        <v>9</v>
      </c>
      <c r="C3">
        <v>140284</v>
      </c>
      <c r="D3">
        <v>71</v>
      </c>
      <c r="E3" t="s">
        <v>10</v>
      </c>
      <c r="F3" t="s">
        <v>11</v>
      </c>
    </row>
    <row r="4" spans="1:6" x14ac:dyDescent="0.3">
      <c r="A4">
        <v>1003</v>
      </c>
      <c r="B4" t="s">
        <v>12</v>
      </c>
      <c r="C4">
        <v>88253</v>
      </c>
      <c r="D4">
        <v>10</v>
      </c>
      <c r="E4" t="s">
        <v>13</v>
      </c>
      <c r="F4" t="s">
        <v>14</v>
      </c>
    </row>
    <row r="5" spans="1:6" x14ac:dyDescent="0.3">
      <c r="A5">
        <v>1004</v>
      </c>
      <c r="B5" t="s">
        <v>15</v>
      </c>
      <c r="C5">
        <v>134248</v>
      </c>
      <c r="D5">
        <v>47</v>
      </c>
      <c r="E5" t="s">
        <v>16</v>
      </c>
      <c r="F5" t="s">
        <v>17</v>
      </c>
    </row>
    <row r="6" spans="1:6" x14ac:dyDescent="0.3">
      <c r="A6">
        <v>1005</v>
      </c>
      <c r="B6" t="s">
        <v>12</v>
      </c>
      <c r="C6">
        <v>13869</v>
      </c>
      <c r="D6">
        <v>30</v>
      </c>
      <c r="E6" t="s">
        <v>13</v>
      </c>
      <c r="F6" t="s">
        <v>8</v>
      </c>
    </row>
    <row r="7" spans="1:6" x14ac:dyDescent="0.3">
      <c r="A7">
        <v>1006</v>
      </c>
      <c r="B7" t="s">
        <v>18</v>
      </c>
      <c r="C7">
        <v>5167</v>
      </c>
      <c r="D7">
        <v>53</v>
      </c>
      <c r="E7" t="s">
        <v>19</v>
      </c>
      <c r="F7" t="s">
        <v>20</v>
      </c>
    </row>
    <row r="8" spans="1:6" x14ac:dyDescent="0.3">
      <c r="A8">
        <v>1007</v>
      </c>
      <c r="B8" t="s">
        <v>21</v>
      </c>
      <c r="C8">
        <v>124553</v>
      </c>
      <c r="D8">
        <v>15</v>
      </c>
      <c r="E8" t="s">
        <v>22</v>
      </c>
      <c r="F8" t="s">
        <v>23</v>
      </c>
    </row>
    <row r="9" spans="1:6" x14ac:dyDescent="0.3">
      <c r="A9">
        <v>1008</v>
      </c>
      <c r="B9" t="s">
        <v>24</v>
      </c>
      <c r="C9">
        <v>193005</v>
      </c>
      <c r="D9">
        <v>20</v>
      </c>
      <c r="E9" t="s">
        <v>16</v>
      </c>
      <c r="F9" t="s">
        <v>20</v>
      </c>
    </row>
    <row r="10" spans="1:6" x14ac:dyDescent="0.3">
      <c r="A10">
        <v>1009</v>
      </c>
      <c r="B10" t="s">
        <v>25</v>
      </c>
      <c r="C10">
        <v>155686</v>
      </c>
      <c r="D10">
        <v>43</v>
      </c>
      <c r="E10" t="s">
        <v>26</v>
      </c>
      <c r="F10" t="s">
        <v>20</v>
      </c>
    </row>
    <row r="11" spans="1:6" x14ac:dyDescent="0.3">
      <c r="A11">
        <v>1010</v>
      </c>
      <c r="B11" t="s">
        <v>9</v>
      </c>
      <c r="C11">
        <v>86085</v>
      </c>
      <c r="D11">
        <v>41</v>
      </c>
      <c r="E11" t="s">
        <v>27</v>
      </c>
      <c r="F11" t="s">
        <v>20</v>
      </c>
    </row>
    <row r="12" spans="1:6" x14ac:dyDescent="0.3">
      <c r="A12">
        <v>1011</v>
      </c>
      <c r="B12" t="s">
        <v>28</v>
      </c>
      <c r="C12">
        <v>100509</v>
      </c>
      <c r="D12">
        <v>87</v>
      </c>
      <c r="E12" t="s">
        <v>10</v>
      </c>
      <c r="F12" t="s">
        <v>29</v>
      </c>
    </row>
    <row r="13" spans="1:6" x14ac:dyDescent="0.3">
      <c r="A13">
        <v>1012</v>
      </c>
      <c r="B13" t="s">
        <v>9</v>
      </c>
      <c r="C13">
        <v>175111</v>
      </c>
      <c r="D13">
        <v>76</v>
      </c>
      <c r="E13" t="s">
        <v>7</v>
      </c>
      <c r="F13" t="s">
        <v>30</v>
      </c>
    </row>
    <row r="14" spans="1:6" x14ac:dyDescent="0.3">
      <c r="A14">
        <v>1013</v>
      </c>
      <c r="B14" t="s">
        <v>25</v>
      </c>
      <c r="C14">
        <v>76893</v>
      </c>
      <c r="D14">
        <v>69</v>
      </c>
      <c r="E14" t="s">
        <v>22</v>
      </c>
      <c r="F14" t="s">
        <v>20</v>
      </c>
    </row>
    <row r="15" spans="1:6" x14ac:dyDescent="0.3">
      <c r="A15">
        <v>1014</v>
      </c>
      <c r="B15" t="s">
        <v>6</v>
      </c>
      <c r="C15">
        <v>128507</v>
      </c>
      <c r="D15">
        <v>50</v>
      </c>
      <c r="E15" t="s">
        <v>16</v>
      </c>
      <c r="F15" t="s">
        <v>23</v>
      </c>
    </row>
    <row r="16" spans="1:6" x14ac:dyDescent="0.3">
      <c r="A16">
        <v>1015</v>
      </c>
      <c r="B16" t="s">
        <v>24</v>
      </c>
      <c r="C16">
        <v>161039</v>
      </c>
      <c r="D16">
        <v>20</v>
      </c>
      <c r="E16" t="s">
        <v>10</v>
      </c>
      <c r="F16" t="s">
        <v>20</v>
      </c>
    </row>
    <row r="17" spans="1:6" x14ac:dyDescent="0.3">
      <c r="A17">
        <v>1016</v>
      </c>
      <c r="B17" t="s">
        <v>31</v>
      </c>
      <c r="C17">
        <v>109876</v>
      </c>
      <c r="D17">
        <v>51</v>
      </c>
      <c r="E17" t="s">
        <v>13</v>
      </c>
      <c r="F17" t="s">
        <v>23</v>
      </c>
    </row>
    <row r="18" spans="1:6" x14ac:dyDescent="0.3">
      <c r="A18">
        <v>1017</v>
      </c>
      <c r="B18" t="s">
        <v>6</v>
      </c>
      <c r="C18">
        <v>98947</v>
      </c>
      <c r="D18">
        <v>94</v>
      </c>
      <c r="E18" t="s">
        <v>13</v>
      </c>
      <c r="F18" t="s">
        <v>23</v>
      </c>
    </row>
    <row r="19" spans="1:6" x14ac:dyDescent="0.3">
      <c r="A19">
        <v>1018</v>
      </c>
      <c r="B19" t="s">
        <v>21</v>
      </c>
      <c r="C19">
        <v>68756</v>
      </c>
      <c r="D19">
        <v>16</v>
      </c>
      <c r="E19" t="s">
        <v>19</v>
      </c>
      <c r="F19" t="s">
        <v>20</v>
      </c>
    </row>
    <row r="20" spans="1:6" x14ac:dyDescent="0.3">
      <c r="A20">
        <v>1019</v>
      </c>
      <c r="B20" t="s">
        <v>28</v>
      </c>
      <c r="C20">
        <v>179341</v>
      </c>
      <c r="D20">
        <v>39</v>
      </c>
      <c r="E20" t="s">
        <v>26</v>
      </c>
      <c r="F20" t="s">
        <v>30</v>
      </c>
    </row>
    <row r="21" spans="1:6" x14ac:dyDescent="0.3">
      <c r="A21">
        <v>1020</v>
      </c>
      <c r="B21" t="s">
        <v>6</v>
      </c>
      <c r="C21">
        <v>109495</v>
      </c>
      <c r="D21">
        <v>70</v>
      </c>
      <c r="E21" t="s">
        <v>7</v>
      </c>
      <c r="F21" t="s">
        <v>8</v>
      </c>
    </row>
    <row r="22" spans="1:6" x14ac:dyDescent="0.3">
      <c r="A22">
        <v>1021</v>
      </c>
      <c r="B22" t="s">
        <v>24</v>
      </c>
      <c r="C22">
        <v>86546</v>
      </c>
      <c r="D22">
        <v>42</v>
      </c>
      <c r="E22" t="s">
        <v>27</v>
      </c>
      <c r="F22" t="s">
        <v>32</v>
      </c>
    </row>
    <row r="23" spans="1:6" x14ac:dyDescent="0.3">
      <c r="A23">
        <v>1022</v>
      </c>
      <c r="B23" t="s">
        <v>31</v>
      </c>
      <c r="C23">
        <v>139032</v>
      </c>
      <c r="D23">
        <v>73</v>
      </c>
      <c r="E23" t="s">
        <v>7</v>
      </c>
      <c r="F23" t="s">
        <v>23</v>
      </c>
    </row>
    <row r="24" spans="1:6" x14ac:dyDescent="0.3">
      <c r="A24">
        <v>1023</v>
      </c>
      <c r="B24" t="s">
        <v>15</v>
      </c>
      <c r="C24">
        <v>196284</v>
      </c>
      <c r="D24">
        <v>20</v>
      </c>
      <c r="E24" t="s">
        <v>13</v>
      </c>
      <c r="F24" t="s">
        <v>33</v>
      </c>
    </row>
    <row r="25" spans="1:6" x14ac:dyDescent="0.3">
      <c r="A25">
        <v>1024</v>
      </c>
      <c r="B25" t="s">
        <v>18</v>
      </c>
      <c r="C25">
        <v>36714</v>
      </c>
      <c r="D25">
        <v>67</v>
      </c>
      <c r="E25" t="s">
        <v>19</v>
      </c>
      <c r="F25" t="s">
        <v>33</v>
      </c>
    </row>
    <row r="26" spans="1:6" x14ac:dyDescent="0.3">
      <c r="A26">
        <v>1025</v>
      </c>
      <c r="B26" t="s">
        <v>24</v>
      </c>
      <c r="C26">
        <v>116310</v>
      </c>
      <c r="D26">
        <v>66</v>
      </c>
      <c r="E26" t="s">
        <v>26</v>
      </c>
      <c r="F26" t="s">
        <v>14</v>
      </c>
    </row>
    <row r="27" spans="1:6" x14ac:dyDescent="0.3">
      <c r="A27">
        <v>1026</v>
      </c>
      <c r="B27" t="s">
        <v>12</v>
      </c>
      <c r="C27">
        <v>112997</v>
      </c>
      <c r="D27">
        <v>99</v>
      </c>
      <c r="E27" t="s">
        <v>26</v>
      </c>
      <c r="F27" t="s">
        <v>8</v>
      </c>
    </row>
    <row r="28" spans="1:6" x14ac:dyDescent="0.3">
      <c r="A28">
        <v>1027</v>
      </c>
      <c r="B28" t="s">
        <v>24</v>
      </c>
      <c r="C28">
        <v>154031</v>
      </c>
      <c r="D28">
        <v>73</v>
      </c>
      <c r="E28" t="s">
        <v>19</v>
      </c>
      <c r="F28" t="s">
        <v>30</v>
      </c>
    </row>
    <row r="29" spans="1:6" x14ac:dyDescent="0.3">
      <c r="A29">
        <v>1028</v>
      </c>
      <c r="B29" t="s">
        <v>21</v>
      </c>
      <c r="C29">
        <v>72136</v>
      </c>
      <c r="D29">
        <v>85</v>
      </c>
      <c r="E29" t="s">
        <v>16</v>
      </c>
      <c r="F29" t="s">
        <v>32</v>
      </c>
    </row>
    <row r="30" spans="1:6" x14ac:dyDescent="0.3">
      <c r="A30">
        <v>1029</v>
      </c>
      <c r="B30" t="s">
        <v>18</v>
      </c>
      <c r="C30">
        <v>48851</v>
      </c>
      <c r="D30">
        <v>76</v>
      </c>
      <c r="E30" t="s">
        <v>13</v>
      </c>
      <c r="F30" t="s">
        <v>8</v>
      </c>
    </row>
    <row r="31" spans="1:6" x14ac:dyDescent="0.3">
      <c r="A31">
        <v>1030</v>
      </c>
      <c r="B31" t="s">
        <v>28</v>
      </c>
      <c r="C31">
        <v>66662</v>
      </c>
      <c r="D31">
        <v>25</v>
      </c>
      <c r="E31" t="s">
        <v>10</v>
      </c>
      <c r="F31" t="s">
        <v>8</v>
      </c>
    </row>
    <row r="32" spans="1:6" x14ac:dyDescent="0.3">
      <c r="A32">
        <v>1031</v>
      </c>
      <c r="B32" t="s">
        <v>6</v>
      </c>
      <c r="C32">
        <v>161174</v>
      </c>
      <c r="D32">
        <v>75</v>
      </c>
      <c r="E32" t="s">
        <v>22</v>
      </c>
      <c r="F32" t="s">
        <v>11</v>
      </c>
    </row>
    <row r="33" spans="1:6" x14ac:dyDescent="0.3">
      <c r="A33">
        <v>1032</v>
      </c>
      <c r="B33" t="s">
        <v>31</v>
      </c>
      <c r="C33">
        <v>106237</v>
      </c>
      <c r="D33">
        <v>63</v>
      </c>
      <c r="E33" t="s">
        <v>10</v>
      </c>
      <c r="F33" t="s">
        <v>23</v>
      </c>
    </row>
    <row r="34" spans="1:6" x14ac:dyDescent="0.3">
      <c r="A34">
        <v>1033</v>
      </c>
      <c r="B34" t="s">
        <v>31</v>
      </c>
      <c r="C34">
        <v>88442</v>
      </c>
      <c r="D34">
        <v>36</v>
      </c>
      <c r="E34" t="s">
        <v>7</v>
      </c>
      <c r="F34" t="s">
        <v>32</v>
      </c>
    </row>
    <row r="35" spans="1:6" x14ac:dyDescent="0.3">
      <c r="A35">
        <v>1034</v>
      </c>
      <c r="B35" t="s">
        <v>28</v>
      </c>
      <c r="C35">
        <v>169472</v>
      </c>
      <c r="D35">
        <v>29</v>
      </c>
      <c r="E35" t="s">
        <v>22</v>
      </c>
      <c r="F35" t="s">
        <v>8</v>
      </c>
    </row>
    <row r="36" spans="1:6" x14ac:dyDescent="0.3">
      <c r="A36">
        <v>1035</v>
      </c>
      <c r="B36" t="s">
        <v>28</v>
      </c>
      <c r="C36">
        <v>23918</v>
      </c>
      <c r="D36">
        <v>54</v>
      </c>
      <c r="E36" t="s">
        <v>13</v>
      </c>
      <c r="F36" t="s">
        <v>23</v>
      </c>
    </row>
    <row r="37" spans="1:6" x14ac:dyDescent="0.3">
      <c r="A37">
        <v>1036</v>
      </c>
      <c r="B37" t="s">
        <v>12</v>
      </c>
      <c r="C37">
        <v>79550</v>
      </c>
      <c r="D37">
        <v>35</v>
      </c>
      <c r="E37" t="s">
        <v>16</v>
      </c>
      <c r="F37" t="s">
        <v>11</v>
      </c>
    </row>
    <row r="38" spans="1:6" x14ac:dyDescent="0.3">
      <c r="A38">
        <v>1037</v>
      </c>
      <c r="B38" t="s">
        <v>18</v>
      </c>
      <c r="C38">
        <v>7144</v>
      </c>
      <c r="D38">
        <v>56</v>
      </c>
      <c r="E38" t="s">
        <v>16</v>
      </c>
      <c r="F38" t="s">
        <v>8</v>
      </c>
    </row>
    <row r="39" spans="1:6" x14ac:dyDescent="0.3">
      <c r="A39">
        <v>1038</v>
      </c>
      <c r="B39" t="s">
        <v>9</v>
      </c>
      <c r="C39">
        <v>101508</v>
      </c>
      <c r="D39">
        <v>64</v>
      </c>
      <c r="E39" t="s">
        <v>26</v>
      </c>
      <c r="F39" t="s">
        <v>11</v>
      </c>
    </row>
    <row r="40" spans="1:6" x14ac:dyDescent="0.3">
      <c r="A40">
        <v>1039</v>
      </c>
      <c r="B40" t="s">
        <v>28</v>
      </c>
      <c r="C40">
        <v>81572</v>
      </c>
      <c r="D40">
        <v>81</v>
      </c>
      <c r="E40" t="s">
        <v>27</v>
      </c>
      <c r="F40" t="s">
        <v>17</v>
      </c>
    </row>
    <row r="41" spans="1:6" x14ac:dyDescent="0.3">
      <c r="A41">
        <v>1040</v>
      </c>
      <c r="B41" t="s">
        <v>12</v>
      </c>
      <c r="C41">
        <v>140093</v>
      </c>
      <c r="D41">
        <v>21</v>
      </c>
      <c r="E41" t="s">
        <v>19</v>
      </c>
      <c r="F41" t="s">
        <v>17</v>
      </c>
    </row>
    <row r="42" spans="1:6" x14ac:dyDescent="0.3">
      <c r="A42">
        <v>1041</v>
      </c>
      <c r="B42" t="s">
        <v>9</v>
      </c>
      <c r="C42">
        <v>85386</v>
      </c>
      <c r="D42">
        <v>19</v>
      </c>
      <c r="E42" t="s">
        <v>16</v>
      </c>
      <c r="F42" t="s">
        <v>33</v>
      </c>
    </row>
    <row r="43" spans="1:6" x14ac:dyDescent="0.3">
      <c r="A43">
        <v>1042</v>
      </c>
      <c r="B43" t="s">
        <v>21</v>
      </c>
      <c r="C43">
        <v>64926</v>
      </c>
      <c r="D43">
        <v>100</v>
      </c>
      <c r="E43" t="s">
        <v>27</v>
      </c>
      <c r="F43" t="s">
        <v>8</v>
      </c>
    </row>
    <row r="44" spans="1:6" x14ac:dyDescent="0.3">
      <c r="A44">
        <v>1043</v>
      </c>
      <c r="B44" t="s">
        <v>12</v>
      </c>
      <c r="C44">
        <v>162826</v>
      </c>
      <c r="D44">
        <v>79</v>
      </c>
      <c r="E44" t="s">
        <v>27</v>
      </c>
      <c r="F44" t="s">
        <v>30</v>
      </c>
    </row>
    <row r="45" spans="1:6" x14ac:dyDescent="0.3">
      <c r="A45">
        <v>1044</v>
      </c>
      <c r="B45" t="s">
        <v>12</v>
      </c>
      <c r="C45">
        <v>99643</v>
      </c>
      <c r="D45">
        <v>33</v>
      </c>
      <c r="E45" t="s">
        <v>10</v>
      </c>
      <c r="F45" t="s">
        <v>11</v>
      </c>
    </row>
    <row r="46" spans="1:6" x14ac:dyDescent="0.3">
      <c r="A46">
        <v>1045</v>
      </c>
      <c r="B46" t="s">
        <v>12</v>
      </c>
      <c r="C46">
        <v>82061</v>
      </c>
      <c r="D46">
        <v>20</v>
      </c>
      <c r="E46" t="s">
        <v>13</v>
      </c>
      <c r="F46" t="s">
        <v>29</v>
      </c>
    </row>
    <row r="47" spans="1:6" x14ac:dyDescent="0.3">
      <c r="A47">
        <v>1046</v>
      </c>
      <c r="B47" t="s">
        <v>24</v>
      </c>
      <c r="C47">
        <v>18963</v>
      </c>
      <c r="D47">
        <v>61</v>
      </c>
      <c r="E47" t="s">
        <v>27</v>
      </c>
      <c r="F47" t="s">
        <v>29</v>
      </c>
    </row>
    <row r="48" spans="1:6" x14ac:dyDescent="0.3">
      <c r="A48">
        <v>1047</v>
      </c>
      <c r="B48" t="s">
        <v>25</v>
      </c>
      <c r="C48">
        <v>8615</v>
      </c>
      <c r="D48">
        <v>64</v>
      </c>
      <c r="E48" t="s">
        <v>22</v>
      </c>
      <c r="F48" t="s">
        <v>23</v>
      </c>
    </row>
    <row r="49" spans="1:6" x14ac:dyDescent="0.3">
      <c r="A49">
        <v>1048</v>
      </c>
      <c r="B49" t="s">
        <v>18</v>
      </c>
      <c r="C49">
        <v>91193</v>
      </c>
      <c r="D49">
        <v>72</v>
      </c>
      <c r="E49" t="s">
        <v>13</v>
      </c>
      <c r="F49" t="s">
        <v>8</v>
      </c>
    </row>
    <row r="50" spans="1:6" x14ac:dyDescent="0.3">
      <c r="A50">
        <v>1049</v>
      </c>
      <c r="B50" t="s">
        <v>21</v>
      </c>
      <c r="C50">
        <v>112902</v>
      </c>
      <c r="D50">
        <v>13</v>
      </c>
      <c r="E50" t="s">
        <v>16</v>
      </c>
      <c r="F50" t="s">
        <v>32</v>
      </c>
    </row>
    <row r="51" spans="1:6" x14ac:dyDescent="0.3">
      <c r="A51">
        <v>1050</v>
      </c>
      <c r="B51" t="s">
        <v>15</v>
      </c>
      <c r="C51">
        <v>174100</v>
      </c>
      <c r="D51">
        <v>20</v>
      </c>
      <c r="E51" t="s">
        <v>13</v>
      </c>
      <c r="F51" t="s">
        <v>14</v>
      </c>
    </row>
    <row r="52" spans="1:6" x14ac:dyDescent="0.3">
      <c r="A52">
        <v>1051</v>
      </c>
      <c r="B52" t="s">
        <v>12</v>
      </c>
      <c r="C52">
        <v>32062</v>
      </c>
      <c r="D52">
        <v>76</v>
      </c>
      <c r="E52" t="s">
        <v>10</v>
      </c>
      <c r="F52" t="s">
        <v>33</v>
      </c>
    </row>
    <row r="53" spans="1:6" x14ac:dyDescent="0.3">
      <c r="A53">
        <v>1052</v>
      </c>
      <c r="B53" t="s">
        <v>18</v>
      </c>
      <c r="C53">
        <v>172607</v>
      </c>
      <c r="D53">
        <v>24</v>
      </c>
      <c r="E53" t="s">
        <v>34</v>
      </c>
      <c r="F53" t="s">
        <v>8</v>
      </c>
    </row>
    <row r="54" spans="1:6" x14ac:dyDescent="0.3">
      <c r="A54">
        <v>1053</v>
      </c>
      <c r="B54" t="s">
        <v>24</v>
      </c>
      <c r="C54">
        <v>30963</v>
      </c>
      <c r="D54">
        <v>27</v>
      </c>
      <c r="E54" t="s">
        <v>13</v>
      </c>
      <c r="F54" t="s">
        <v>29</v>
      </c>
    </row>
    <row r="55" spans="1:6" x14ac:dyDescent="0.3">
      <c r="A55">
        <v>1054</v>
      </c>
      <c r="B55" t="s">
        <v>6</v>
      </c>
      <c r="C55">
        <v>113682</v>
      </c>
      <c r="D55">
        <v>75</v>
      </c>
      <c r="E55" t="s">
        <v>34</v>
      </c>
      <c r="F55" t="s">
        <v>8</v>
      </c>
    </row>
    <row r="56" spans="1:6" x14ac:dyDescent="0.3">
      <c r="A56">
        <v>1055</v>
      </c>
      <c r="B56" t="s">
        <v>15</v>
      </c>
      <c r="C56">
        <v>186982</v>
      </c>
      <c r="D56">
        <v>12</v>
      </c>
      <c r="E56" t="s">
        <v>27</v>
      </c>
      <c r="F56" t="s">
        <v>29</v>
      </c>
    </row>
    <row r="57" spans="1:6" x14ac:dyDescent="0.3">
      <c r="A57">
        <v>1056</v>
      </c>
      <c r="B57" t="s">
        <v>21</v>
      </c>
      <c r="C57">
        <v>135498</v>
      </c>
      <c r="D57">
        <v>14</v>
      </c>
      <c r="E57" t="s">
        <v>19</v>
      </c>
      <c r="F57" t="s">
        <v>20</v>
      </c>
    </row>
    <row r="58" spans="1:6" x14ac:dyDescent="0.3">
      <c r="A58">
        <v>1057</v>
      </c>
      <c r="B58" t="s">
        <v>15</v>
      </c>
      <c r="C58">
        <v>71705</v>
      </c>
      <c r="D58">
        <v>62</v>
      </c>
      <c r="E58" t="s">
        <v>10</v>
      </c>
      <c r="F58" t="s">
        <v>23</v>
      </c>
    </row>
    <row r="59" spans="1:6" x14ac:dyDescent="0.3">
      <c r="A59">
        <v>1058</v>
      </c>
      <c r="B59" t="s">
        <v>24</v>
      </c>
      <c r="C59">
        <v>31518</v>
      </c>
      <c r="D59">
        <v>66</v>
      </c>
      <c r="E59" t="s">
        <v>7</v>
      </c>
      <c r="F59" t="s">
        <v>8</v>
      </c>
    </row>
    <row r="60" spans="1:6" x14ac:dyDescent="0.3">
      <c r="A60">
        <v>1059</v>
      </c>
      <c r="B60" t="s">
        <v>9</v>
      </c>
      <c r="C60">
        <v>106163</v>
      </c>
      <c r="D60">
        <v>86</v>
      </c>
      <c r="E60" t="s">
        <v>22</v>
      </c>
      <c r="F60" t="s">
        <v>14</v>
      </c>
    </row>
    <row r="61" spans="1:6" x14ac:dyDescent="0.3">
      <c r="A61">
        <v>1060</v>
      </c>
      <c r="B61" t="s">
        <v>24</v>
      </c>
      <c r="C61">
        <v>139008</v>
      </c>
      <c r="D61">
        <v>46</v>
      </c>
      <c r="E61" t="s">
        <v>22</v>
      </c>
      <c r="F61" t="s">
        <v>14</v>
      </c>
    </row>
    <row r="62" spans="1:6" x14ac:dyDescent="0.3">
      <c r="A62">
        <v>1061</v>
      </c>
      <c r="B62" t="s">
        <v>25</v>
      </c>
      <c r="C62">
        <v>93436</v>
      </c>
      <c r="D62">
        <v>42</v>
      </c>
      <c r="E62" t="s">
        <v>26</v>
      </c>
      <c r="F62" t="s">
        <v>23</v>
      </c>
    </row>
    <row r="63" spans="1:6" x14ac:dyDescent="0.3">
      <c r="A63">
        <v>1062</v>
      </c>
      <c r="B63" t="s">
        <v>6</v>
      </c>
      <c r="C63">
        <v>52284</v>
      </c>
      <c r="D63">
        <v>69</v>
      </c>
      <c r="E63" t="s">
        <v>34</v>
      </c>
      <c r="F63" t="s">
        <v>14</v>
      </c>
    </row>
    <row r="64" spans="1:6" x14ac:dyDescent="0.3">
      <c r="A64">
        <v>1063</v>
      </c>
      <c r="B64" t="s">
        <v>18</v>
      </c>
      <c r="C64">
        <v>160591</v>
      </c>
      <c r="D64">
        <v>80</v>
      </c>
      <c r="E64" t="s">
        <v>26</v>
      </c>
      <c r="F64" t="s">
        <v>32</v>
      </c>
    </row>
    <row r="65" spans="1:6" x14ac:dyDescent="0.3">
      <c r="A65">
        <v>1064</v>
      </c>
      <c r="B65" t="s">
        <v>31</v>
      </c>
      <c r="C65">
        <v>3674</v>
      </c>
      <c r="D65">
        <v>41</v>
      </c>
      <c r="E65" t="s">
        <v>22</v>
      </c>
      <c r="F65" t="s">
        <v>23</v>
      </c>
    </row>
    <row r="66" spans="1:6" x14ac:dyDescent="0.3">
      <c r="A66">
        <v>1065</v>
      </c>
      <c r="B66" t="s">
        <v>6</v>
      </c>
      <c r="C66">
        <v>106522</v>
      </c>
      <c r="D66">
        <v>43</v>
      </c>
      <c r="E66" t="s">
        <v>22</v>
      </c>
      <c r="F66" t="s">
        <v>32</v>
      </c>
    </row>
    <row r="67" spans="1:6" x14ac:dyDescent="0.3">
      <c r="A67">
        <v>1066</v>
      </c>
      <c r="B67" t="s">
        <v>9</v>
      </c>
      <c r="C67">
        <v>108792</v>
      </c>
      <c r="D67">
        <v>39</v>
      </c>
      <c r="E67" t="s">
        <v>10</v>
      </c>
      <c r="F67" t="s">
        <v>14</v>
      </c>
    </row>
    <row r="68" spans="1:6" x14ac:dyDescent="0.3">
      <c r="A68">
        <v>1067</v>
      </c>
      <c r="B68" t="s">
        <v>24</v>
      </c>
      <c r="C68">
        <v>104006</v>
      </c>
      <c r="D68">
        <v>18</v>
      </c>
      <c r="E68" t="s">
        <v>10</v>
      </c>
      <c r="F68" t="s">
        <v>30</v>
      </c>
    </row>
    <row r="69" spans="1:6" x14ac:dyDescent="0.3">
      <c r="A69">
        <v>1068</v>
      </c>
      <c r="B69" t="s">
        <v>6</v>
      </c>
      <c r="C69">
        <v>164061</v>
      </c>
      <c r="D69">
        <v>70</v>
      </c>
      <c r="E69" t="s">
        <v>27</v>
      </c>
      <c r="F69" t="s">
        <v>29</v>
      </c>
    </row>
    <row r="70" spans="1:6" x14ac:dyDescent="0.3">
      <c r="A70">
        <v>1069</v>
      </c>
      <c r="B70" t="s">
        <v>21</v>
      </c>
      <c r="C70">
        <v>147376</v>
      </c>
      <c r="D70">
        <v>9</v>
      </c>
      <c r="E70" t="s">
        <v>27</v>
      </c>
      <c r="F70" t="s">
        <v>17</v>
      </c>
    </row>
    <row r="71" spans="1:6" x14ac:dyDescent="0.3">
      <c r="A71">
        <v>1070</v>
      </c>
      <c r="B71" t="s">
        <v>31</v>
      </c>
      <c r="C71">
        <v>156820</v>
      </c>
      <c r="D71">
        <v>77</v>
      </c>
      <c r="E71" t="s">
        <v>26</v>
      </c>
      <c r="F71" t="s">
        <v>11</v>
      </c>
    </row>
    <row r="72" spans="1:6" x14ac:dyDescent="0.3">
      <c r="A72">
        <v>1071</v>
      </c>
      <c r="B72" t="s">
        <v>25</v>
      </c>
      <c r="C72">
        <v>132165</v>
      </c>
      <c r="D72">
        <v>6</v>
      </c>
      <c r="E72" t="s">
        <v>13</v>
      </c>
      <c r="F72" t="s">
        <v>23</v>
      </c>
    </row>
    <row r="73" spans="1:6" x14ac:dyDescent="0.3">
      <c r="A73">
        <v>1072</v>
      </c>
      <c r="B73" t="s">
        <v>25</v>
      </c>
      <c r="C73">
        <v>34159</v>
      </c>
      <c r="D73">
        <v>19</v>
      </c>
      <c r="E73" t="s">
        <v>34</v>
      </c>
      <c r="F73" t="s">
        <v>32</v>
      </c>
    </row>
    <row r="74" spans="1:6" x14ac:dyDescent="0.3">
      <c r="A74">
        <v>1073</v>
      </c>
      <c r="B74" t="s">
        <v>6</v>
      </c>
      <c r="C74">
        <v>162447</v>
      </c>
      <c r="D74">
        <v>88</v>
      </c>
      <c r="E74" t="s">
        <v>7</v>
      </c>
      <c r="F74" t="s">
        <v>8</v>
      </c>
    </row>
    <row r="75" spans="1:6" x14ac:dyDescent="0.3">
      <c r="A75">
        <v>1074</v>
      </c>
      <c r="B75" t="s">
        <v>25</v>
      </c>
      <c r="C75">
        <v>193393</v>
      </c>
      <c r="D75">
        <v>35</v>
      </c>
      <c r="E75" t="s">
        <v>10</v>
      </c>
      <c r="F75" t="s">
        <v>29</v>
      </c>
    </row>
    <row r="76" spans="1:6" x14ac:dyDescent="0.3">
      <c r="A76">
        <v>1075</v>
      </c>
      <c r="B76" t="s">
        <v>15</v>
      </c>
      <c r="C76">
        <v>59401</v>
      </c>
      <c r="D76">
        <v>69</v>
      </c>
      <c r="E76" t="s">
        <v>13</v>
      </c>
      <c r="F76" t="s">
        <v>29</v>
      </c>
    </row>
    <row r="77" spans="1:6" x14ac:dyDescent="0.3">
      <c r="A77">
        <v>1076</v>
      </c>
      <c r="B77" t="s">
        <v>31</v>
      </c>
      <c r="C77">
        <v>164414</v>
      </c>
      <c r="D77">
        <v>89</v>
      </c>
      <c r="E77" t="s">
        <v>26</v>
      </c>
      <c r="F77" t="s">
        <v>8</v>
      </c>
    </row>
    <row r="78" spans="1:6" x14ac:dyDescent="0.3">
      <c r="A78">
        <v>1077</v>
      </c>
      <c r="B78" t="s">
        <v>24</v>
      </c>
      <c r="C78">
        <v>172049</v>
      </c>
      <c r="D78">
        <v>69</v>
      </c>
      <c r="E78" t="s">
        <v>27</v>
      </c>
      <c r="F78" t="s">
        <v>20</v>
      </c>
    </row>
    <row r="79" spans="1:6" x14ac:dyDescent="0.3">
      <c r="A79">
        <v>1078</v>
      </c>
      <c r="B79" t="s">
        <v>31</v>
      </c>
      <c r="C79">
        <v>145370</v>
      </c>
      <c r="D79">
        <v>23</v>
      </c>
      <c r="E79" t="s">
        <v>19</v>
      </c>
      <c r="F79" t="s">
        <v>17</v>
      </c>
    </row>
    <row r="80" spans="1:6" x14ac:dyDescent="0.3">
      <c r="A80">
        <v>1079</v>
      </c>
      <c r="B80" t="s">
        <v>12</v>
      </c>
      <c r="C80">
        <v>90149</v>
      </c>
      <c r="D80">
        <v>85</v>
      </c>
      <c r="E80" t="s">
        <v>34</v>
      </c>
      <c r="F80" t="s">
        <v>29</v>
      </c>
    </row>
    <row r="81" spans="1:6" x14ac:dyDescent="0.3">
      <c r="A81">
        <v>1080</v>
      </c>
      <c r="B81" t="s">
        <v>15</v>
      </c>
      <c r="C81">
        <v>119036</v>
      </c>
      <c r="D81">
        <v>90</v>
      </c>
      <c r="E81" t="s">
        <v>34</v>
      </c>
      <c r="F81" t="s">
        <v>14</v>
      </c>
    </row>
    <row r="82" spans="1:6" x14ac:dyDescent="0.3">
      <c r="A82">
        <v>1081</v>
      </c>
      <c r="B82" t="s">
        <v>24</v>
      </c>
      <c r="C82">
        <v>149284</v>
      </c>
      <c r="D82">
        <v>88</v>
      </c>
      <c r="E82" t="s">
        <v>27</v>
      </c>
      <c r="F82" t="s">
        <v>32</v>
      </c>
    </row>
    <row r="83" spans="1:6" x14ac:dyDescent="0.3">
      <c r="A83">
        <v>1082</v>
      </c>
      <c r="B83" t="s">
        <v>18</v>
      </c>
      <c r="C83">
        <v>118835</v>
      </c>
      <c r="D83">
        <v>50</v>
      </c>
      <c r="E83" t="s">
        <v>13</v>
      </c>
      <c r="F83" t="s">
        <v>29</v>
      </c>
    </row>
    <row r="84" spans="1:6" x14ac:dyDescent="0.3">
      <c r="A84">
        <v>1083</v>
      </c>
      <c r="B84" t="s">
        <v>24</v>
      </c>
      <c r="C84">
        <v>67261</v>
      </c>
      <c r="D84">
        <v>58</v>
      </c>
      <c r="E84" t="s">
        <v>13</v>
      </c>
      <c r="F84" t="s">
        <v>11</v>
      </c>
    </row>
    <row r="85" spans="1:6" x14ac:dyDescent="0.3">
      <c r="A85">
        <v>1084</v>
      </c>
      <c r="B85" t="s">
        <v>15</v>
      </c>
      <c r="C85">
        <v>92067</v>
      </c>
      <c r="D85">
        <v>23</v>
      </c>
      <c r="E85" t="s">
        <v>7</v>
      </c>
      <c r="F85" t="s">
        <v>29</v>
      </c>
    </row>
    <row r="86" spans="1:6" x14ac:dyDescent="0.3">
      <c r="A86">
        <v>1085</v>
      </c>
      <c r="B86" t="s">
        <v>6</v>
      </c>
      <c r="C86">
        <v>58099</v>
      </c>
      <c r="D86">
        <v>99</v>
      </c>
      <c r="E86" t="s">
        <v>22</v>
      </c>
      <c r="F86" t="s">
        <v>8</v>
      </c>
    </row>
    <row r="87" spans="1:6" x14ac:dyDescent="0.3">
      <c r="A87">
        <v>1086</v>
      </c>
      <c r="B87" t="s">
        <v>9</v>
      </c>
      <c r="C87">
        <v>36558</v>
      </c>
      <c r="D87">
        <v>40</v>
      </c>
      <c r="E87" t="s">
        <v>16</v>
      </c>
      <c r="F87" t="s">
        <v>30</v>
      </c>
    </row>
    <row r="88" spans="1:6" x14ac:dyDescent="0.3">
      <c r="A88">
        <v>1087</v>
      </c>
      <c r="B88" t="s">
        <v>6</v>
      </c>
      <c r="C88">
        <v>64799</v>
      </c>
      <c r="D88">
        <v>40</v>
      </c>
      <c r="E88" t="s">
        <v>13</v>
      </c>
      <c r="F88" t="s">
        <v>14</v>
      </c>
    </row>
    <row r="89" spans="1:6" x14ac:dyDescent="0.3">
      <c r="A89">
        <v>1088</v>
      </c>
      <c r="B89" t="s">
        <v>18</v>
      </c>
      <c r="C89">
        <v>112448</v>
      </c>
      <c r="D89">
        <v>72</v>
      </c>
      <c r="E89" t="s">
        <v>34</v>
      </c>
      <c r="F89" t="s">
        <v>23</v>
      </c>
    </row>
    <row r="90" spans="1:6" x14ac:dyDescent="0.3">
      <c r="A90">
        <v>1089</v>
      </c>
      <c r="B90" t="s">
        <v>9</v>
      </c>
      <c r="C90">
        <v>14749</v>
      </c>
      <c r="D90">
        <v>31</v>
      </c>
      <c r="E90" t="s">
        <v>7</v>
      </c>
      <c r="F90" t="s">
        <v>32</v>
      </c>
    </row>
    <row r="91" spans="1:6" x14ac:dyDescent="0.3">
      <c r="A91">
        <v>1090</v>
      </c>
      <c r="B91" t="s">
        <v>31</v>
      </c>
      <c r="C91">
        <v>187127</v>
      </c>
      <c r="D91">
        <v>39</v>
      </c>
      <c r="E91" t="s">
        <v>10</v>
      </c>
      <c r="F91" t="s">
        <v>30</v>
      </c>
    </row>
    <row r="92" spans="1:6" x14ac:dyDescent="0.3">
      <c r="A92">
        <v>1091</v>
      </c>
      <c r="B92" t="s">
        <v>24</v>
      </c>
      <c r="C92">
        <v>36477</v>
      </c>
      <c r="D92">
        <v>75</v>
      </c>
      <c r="E92" t="s">
        <v>10</v>
      </c>
      <c r="F92" t="s">
        <v>17</v>
      </c>
    </row>
    <row r="93" spans="1:6" x14ac:dyDescent="0.3">
      <c r="A93">
        <v>1092</v>
      </c>
      <c r="B93" t="s">
        <v>25</v>
      </c>
      <c r="C93">
        <v>26125</v>
      </c>
      <c r="D93">
        <v>78</v>
      </c>
      <c r="E93" t="s">
        <v>10</v>
      </c>
      <c r="F93" t="s">
        <v>30</v>
      </c>
    </row>
    <row r="94" spans="1:6" x14ac:dyDescent="0.3">
      <c r="A94">
        <v>1093</v>
      </c>
      <c r="B94" t="s">
        <v>21</v>
      </c>
      <c r="C94">
        <v>50469</v>
      </c>
      <c r="D94">
        <v>49</v>
      </c>
      <c r="E94" t="s">
        <v>7</v>
      </c>
      <c r="F94" t="s">
        <v>20</v>
      </c>
    </row>
    <row r="95" spans="1:6" x14ac:dyDescent="0.3">
      <c r="A95">
        <v>1094</v>
      </c>
      <c r="B95" t="s">
        <v>12</v>
      </c>
      <c r="C95">
        <v>158216</v>
      </c>
      <c r="D95">
        <v>50</v>
      </c>
      <c r="E95" t="s">
        <v>10</v>
      </c>
      <c r="F95" t="s">
        <v>30</v>
      </c>
    </row>
    <row r="96" spans="1:6" x14ac:dyDescent="0.3">
      <c r="A96">
        <v>1095</v>
      </c>
      <c r="B96" t="s">
        <v>31</v>
      </c>
      <c r="C96">
        <v>72574</v>
      </c>
      <c r="D96">
        <v>33</v>
      </c>
      <c r="E96" t="s">
        <v>7</v>
      </c>
      <c r="F96" t="s">
        <v>29</v>
      </c>
    </row>
    <row r="97" spans="1:6" x14ac:dyDescent="0.3">
      <c r="A97">
        <v>1096</v>
      </c>
      <c r="B97" t="s">
        <v>31</v>
      </c>
      <c r="C97">
        <v>144882</v>
      </c>
      <c r="D97">
        <v>16</v>
      </c>
      <c r="E97" t="s">
        <v>26</v>
      </c>
      <c r="F97" t="s">
        <v>17</v>
      </c>
    </row>
    <row r="98" spans="1:6" x14ac:dyDescent="0.3">
      <c r="A98">
        <v>1097</v>
      </c>
      <c r="B98" t="s">
        <v>9</v>
      </c>
      <c r="C98">
        <v>155995</v>
      </c>
      <c r="D98">
        <v>49</v>
      </c>
      <c r="E98" t="s">
        <v>10</v>
      </c>
      <c r="F98" t="s">
        <v>8</v>
      </c>
    </row>
    <row r="99" spans="1:6" x14ac:dyDescent="0.3">
      <c r="A99">
        <v>1098</v>
      </c>
      <c r="B99" t="s">
        <v>6</v>
      </c>
      <c r="C99">
        <v>183200</v>
      </c>
      <c r="D99">
        <v>21</v>
      </c>
      <c r="E99" t="s">
        <v>10</v>
      </c>
      <c r="F99" t="s">
        <v>17</v>
      </c>
    </row>
    <row r="100" spans="1:6" x14ac:dyDescent="0.3">
      <c r="A100">
        <v>1099</v>
      </c>
      <c r="B100" t="s">
        <v>9</v>
      </c>
      <c r="C100">
        <v>7559</v>
      </c>
      <c r="D100">
        <v>79</v>
      </c>
      <c r="E100" t="s">
        <v>22</v>
      </c>
      <c r="F100" t="s">
        <v>23</v>
      </c>
    </row>
    <row r="101" spans="1:6" x14ac:dyDescent="0.3">
      <c r="A101">
        <v>1100</v>
      </c>
      <c r="B101" t="s">
        <v>6</v>
      </c>
      <c r="C101">
        <v>121747</v>
      </c>
      <c r="D101">
        <v>18</v>
      </c>
      <c r="E101" t="s">
        <v>27</v>
      </c>
      <c r="F101" t="s">
        <v>23</v>
      </c>
    </row>
    <row r="102" spans="1:6" x14ac:dyDescent="0.3">
      <c r="A102">
        <v>1101</v>
      </c>
      <c r="B102" t="s">
        <v>28</v>
      </c>
      <c r="C102">
        <v>141059</v>
      </c>
      <c r="D102">
        <v>37</v>
      </c>
      <c r="E102" t="s">
        <v>22</v>
      </c>
      <c r="F102" t="s">
        <v>17</v>
      </c>
    </row>
    <row r="103" spans="1:6" x14ac:dyDescent="0.3">
      <c r="A103">
        <v>1102</v>
      </c>
      <c r="B103" t="s">
        <v>28</v>
      </c>
      <c r="C103">
        <v>164630</v>
      </c>
      <c r="D103">
        <v>14</v>
      </c>
      <c r="E103" t="s">
        <v>22</v>
      </c>
      <c r="F103" t="s">
        <v>23</v>
      </c>
    </row>
    <row r="104" spans="1:6" x14ac:dyDescent="0.3">
      <c r="A104">
        <v>1103</v>
      </c>
      <c r="B104" t="s">
        <v>18</v>
      </c>
      <c r="C104">
        <v>129170</v>
      </c>
      <c r="D104">
        <v>74</v>
      </c>
      <c r="E104" t="s">
        <v>19</v>
      </c>
      <c r="F104" t="s">
        <v>29</v>
      </c>
    </row>
    <row r="105" spans="1:6" x14ac:dyDescent="0.3">
      <c r="A105">
        <v>1104</v>
      </c>
      <c r="B105" t="s">
        <v>9</v>
      </c>
      <c r="C105">
        <v>138944</v>
      </c>
      <c r="D105">
        <v>39</v>
      </c>
      <c r="E105" t="s">
        <v>7</v>
      </c>
      <c r="F105" t="s">
        <v>29</v>
      </c>
    </row>
    <row r="106" spans="1:6" x14ac:dyDescent="0.3">
      <c r="A106">
        <v>1105</v>
      </c>
      <c r="B106" t="s">
        <v>15</v>
      </c>
      <c r="C106">
        <v>62563</v>
      </c>
      <c r="D106">
        <v>6</v>
      </c>
      <c r="E106" t="s">
        <v>22</v>
      </c>
      <c r="F106" t="s">
        <v>32</v>
      </c>
    </row>
    <row r="107" spans="1:6" x14ac:dyDescent="0.3">
      <c r="A107">
        <v>1106</v>
      </c>
      <c r="B107" t="s">
        <v>12</v>
      </c>
      <c r="C107">
        <v>147164</v>
      </c>
      <c r="D107">
        <v>63</v>
      </c>
      <c r="E107" t="s">
        <v>22</v>
      </c>
      <c r="F107" t="s">
        <v>17</v>
      </c>
    </row>
    <row r="108" spans="1:6" x14ac:dyDescent="0.3">
      <c r="A108">
        <v>1107</v>
      </c>
      <c r="B108" t="s">
        <v>28</v>
      </c>
      <c r="C108">
        <v>173414</v>
      </c>
      <c r="D108">
        <v>97</v>
      </c>
      <c r="E108" t="s">
        <v>34</v>
      </c>
      <c r="F108" t="s">
        <v>17</v>
      </c>
    </row>
    <row r="109" spans="1:6" x14ac:dyDescent="0.3">
      <c r="A109">
        <v>1108</v>
      </c>
      <c r="B109" t="s">
        <v>28</v>
      </c>
      <c r="C109">
        <v>193835</v>
      </c>
      <c r="D109">
        <v>68</v>
      </c>
      <c r="E109" t="s">
        <v>16</v>
      </c>
      <c r="F109" t="s">
        <v>33</v>
      </c>
    </row>
    <row r="110" spans="1:6" x14ac:dyDescent="0.3">
      <c r="A110">
        <v>1109</v>
      </c>
      <c r="B110" t="s">
        <v>12</v>
      </c>
      <c r="C110">
        <v>85470</v>
      </c>
      <c r="D110">
        <v>6</v>
      </c>
      <c r="E110" t="s">
        <v>26</v>
      </c>
      <c r="F110" t="s">
        <v>32</v>
      </c>
    </row>
    <row r="111" spans="1:6" x14ac:dyDescent="0.3">
      <c r="A111">
        <v>1110</v>
      </c>
      <c r="B111" t="s">
        <v>25</v>
      </c>
      <c r="C111">
        <v>124825</v>
      </c>
      <c r="D111">
        <v>65</v>
      </c>
      <c r="E111" t="s">
        <v>26</v>
      </c>
      <c r="F111" t="s">
        <v>14</v>
      </c>
    </row>
    <row r="112" spans="1:6" x14ac:dyDescent="0.3">
      <c r="A112">
        <v>1111</v>
      </c>
      <c r="B112" t="s">
        <v>25</v>
      </c>
      <c r="C112">
        <v>59694</v>
      </c>
      <c r="D112">
        <v>28</v>
      </c>
      <c r="E112" t="s">
        <v>22</v>
      </c>
      <c r="F112" t="s">
        <v>8</v>
      </c>
    </row>
    <row r="113" spans="1:6" x14ac:dyDescent="0.3">
      <c r="A113">
        <v>1112</v>
      </c>
      <c r="B113" t="s">
        <v>6</v>
      </c>
      <c r="C113">
        <v>167584</v>
      </c>
      <c r="D113">
        <v>12</v>
      </c>
      <c r="E113" t="s">
        <v>22</v>
      </c>
      <c r="F113" t="s">
        <v>32</v>
      </c>
    </row>
    <row r="114" spans="1:6" x14ac:dyDescent="0.3">
      <c r="A114">
        <v>1113</v>
      </c>
      <c r="B114" t="s">
        <v>12</v>
      </c>
      <c r="C114">
        <v>81524</v>
      </c>
      <c r="D114">
        <v>53</v>
      </c>
      <c r="E114" t="s">
        <v>22</v>
      </c>
      <c r="F114" t="s">
        <v>33</v>
      </c>
    </row>
    <row r="115" spans="1:6" x14ac:dyDescent="0.3">
      <c r="A115">
        <v>1114</v>
      </c>
      <c r="B115" t="s">
        <v>25</v>
      </c>
      <c r="C115">
        <v>115986</v>
      </c>
      <c r="D115">
        <v>41</v>
      </c>
      <c r="E115" t="s">
        <v>10</v>
      </c>
      <c r="F115" t="s">
        <v>20</v>
      </c>
    </row>
    <row r="116" spans="1:6" x14ac:dyDescent="0.3">
      <c r="A116">
        <v>1115</v>
      </c>
      <c r="B116" t="s">
        <v>15</v>
      </c>
      <c r="C116">
        <v>24154</v>
      </c>
      <c r="D116">
        <v>65</v>
      </c>
      <c r="E116" t="s">
        <v>34</v>
      </c>
      <c r="F116" t="s">
        <v>33</v>
      </c>
    </row>
    <row r="117" spans="1:6" x14ac:dyDescent="0.3">
      <c r="A117">
        <v>1116</v>
      </c>
      <c r="B117" t="s">
        <v>9</v>
      </c>
      <c r="C117">
        <v>120358</v>
      </c>
      <c r="D117">
        <v>67</v>
      </c>
      <c r="E117" t="s">
        <v>13</v>
      </c>
      <c r="F117" t="s">
        <v>14</v>
      </c>
    </row>
    <row r="118" spans="1:6" x14ac:dyDescent="0.3">
      <c r="A118">
        <v>1117</v>
      </c>
      <c r="B118" t="s">
        <v>25</v>
      </c>
      <c r="C118">
        <v>100697</v>
      </c>
      <c r="D118">
        <v>13</v>
      </c>
      <c r="E118" t="s">
        <v>13</v>
      </c>
      <c r="F118" t="s">
        <v>29</v>
      </c>
    </row>
    <row r="119" spans="1:6" x14ac:dyDescent="0.3">
      <c r="A119">
        <v>1118</v>
      </c>
      <c r="B119" t="s">
        <v>25</v>
      </c>
      <c r="C119">
        <v>85861</v>
      </c>
      <c r="D119">
        <v>13</v>
      </c>
      <c r="E119" t="s">
        <v>27</v>
      </c>
      <c r="F119" t="s">
        <v>33</v>
      </c>
    </row>
    <row r="120" spans="1:6" x14ac:dyDescent="0.3">
      <c r="A120">
        <v>1119</v>
      </c>
      <c r="B120" t="s">
        <v>18</v>
      </c>
      <c r="C120">
        <v>123552</v>
      </c>
      <c r="D120">
        <v>99</v>
      </c>
      <c r="E120" t="s">
        <v>7</v>
      </c>
      <c r="F120" t="s">
        <v>11</v>
      </c>
    </row>
    <row r="121" spans="1:6" x14ac:dyDescent="0.3">
      <c r="A121">
        <v>1120</v>
      </c>
      <c r="B121" t="s">
        <v>9</v>
      </c>
      <c r="C121">
        <v>100499</v>
      </c>
      <c r="D121">
        <v>68</v>
      </c>
      <c r="E121" t="s">
        <v>19</v>
      </c>
      <c r="F121" t="s">
        <v>32</v>
      </c>
    </row>
    <row r="122" spans="1:6" x14ac:dyDescent="0.3">
      <c r="A122">
        <v>1121</v>
      </c>
      <c r="B122" t="s">
        <v>6</v>
      </c>
      <c r="C122">
        <v>4431</v>
      </c>
      <c r="D122">
        <v>67</v>
      </c>
      <c r="E122" t="s">
        <v>13</v>
      </c>
      <c r="F122" t="s">
        <v>23</v>
      </c>
    </row>
    <row r="123" spans="1:6" x14ac:dyDescent="0.3">
      <c r="A123">
        <v>1122</v>
      </c>
      <c r="B123" t="s">
        <v>25</v>
      </c>
      <c r="C123">
        <v>113674</v>
      </c>
      <c r="D123">
        <v>9</v>
      </c>
      <c r="E123" t="s">
        <v>34</v>
      </c>
      <c r="F123" t="s">
        <v>20</v>
      </c>
    </row>
    <row r="124" spans="1:6" x14ac:dyDescent="0.3">
      <c r="A124">
        <v>1123</v>
      </c>
      <c r="B124" t="s">
        <v>9</v>
      </c>
      <c r="C124">
        <v>53812</v>
      </c>
      <c r="D124">
        <v>82</v>
      </c>
      <c r="E124" t="s">
        <v>13</v>
      </c>
      <c r="F124" t="s">
        <v>29</v>
      </c>
    </row>
    <row r="125" spans="1:6" x14ac:dyDescent="0.3">
      <c r="A125">
        <v>1124</v>
      </c>
      <c r="B125" t="s">
        <v>31</v>
      </c>
      <c r="C125">
        <v>59670</v>
      </c>
      <c r="D125">
        <v>37</v>
      </c>
      <c r="E125" t="s">
        <v>34</v>
      </c>
      <c r="F125" t="s">
        <v>30</v>
      </c>
    </row>
    <row r="126" spans="1:6" x14ac:dyDescent="0.3">
      <c r="A126">
        <v>1125</v>
      </c>
      <c r="B126" t="s">
        <v>15</v>
      </c>
      <c r="C126">
        <v>137671</v>
      </c>
      <c r="D126">
        <v>69</v>
      </c>
      <c r="E126" t="s">
        <v>27</v>
      </c>
      <c r="F126" t="s">
        <v>14</v>
      </c>
    </row>
    <row r="127" spans="1:6" x14ac:dyDescent="0.3">
      <c r="A127">
        <v>1126</v>
      </c>
      <c r="B127" t="s">
        <v>12</v>
      </c>
      <c r="C127">
        <v>198404</v>
      </c>
      <c r="D127">
        <v>64</v>
      </c>
      <c r="E127" t="s">
        <v>13</v>
      </c>
      <c r="F127" t="s">
        <v>8</v>
      </c>
    </row>
    <row r="128" spans="1:6" x14ac:dyDescent="0.3">
      <c r="A128">
        <v>1127</v>
      </c>
      <c r="B128" t="s">
        <v>28</v>
      </c>
      <c r="C128">
        <v>28950</v>
      </c>
      <c r="D128">
        <v>90</v>
      </c>
      <c r="E128" t="s">
        <v>7</v>
      </c>
      <c r="F128" t="s">
        <v>17</v>
      </c>
    </row>
    <row r="129" spans="1:6" x14ac:dyDescent="0.3">
      <c r="A129">
        <v>1128</v>
      </c>
      <c r="B129" t="s">
        <v>24</v>
      </c>
      <c r="C129">
        <v>191934</v>
      </c>
      <c r="D129">
        <v>94</v>
      </c>
      <c r="E129" t="s">
        <v>34</v>
      </c>
      <c r="F129" t="s">
        <v>20</v>
      </c>
    </row>
    <row r="130" spans="1:6" x14ac:dyDescent="0.3">
      <c r="A130">
        <v>1129</v>
      </c>
      <c r="B130" t="s">
        <v>28</v>
      </c>
      <c r="C130">
        <v>120381</v>
      </c>
      <c r="D130">
        <v>13</v>
      </c>
      <c r="E130" t="s">
        <v>26</v>
      </c>
      <c r="F130" t="s">
        <v>29</v>
      </c>
    </row>
    <row r="131" spans="1:6" x14ac:dyDescent="0.3">
      <c r="A131">
        <v>1130</v>
      </c>
      <c r="B131" t="s">
        <v>9</v>
      </c>
      <c r="C131">
        <v>154885</v>
      </c>
      <c r="D131">
        <v>18</v>
      </c>
      <c r="E131" t="s">
        <v>10</v>
      </c>
      <c r="F131" t="s">
        <v>32</v>
      </c>
    </row>
    <row r="132" spans="1:6" x14ac:dyDescent="0.3">
      <c r="A132">
        <v>1131</v>
      </c>
      <c r="B132" t="s">
        <v>28</v>
      </c>
      <c r="C132">
        <v>50679</v>
      </c>
      <c r="D132">
        <v>44</v>
      </c>
      <c r="E132" t="s">
        <v>10</v>
      </c>
      <c r="F132" t="s">
        <v>20</v>
      </c>
    </row>
    <row r="133" spans="1:6" x14ac:dyDescent="0.3">
      <c r="A133">
        <v>1132</v>
      </c>
      <c r="B133" t="s">
        <v>6</v>
      </c>
      <c r="C133">
        <v>41753</v>
      </c>
      <c r="D133">
        <v>84</v>
      </c>
      <c r="E133" t="s">
        <v>22</v>
      </c>
      <c r="F133" t="s">
        <v>17</v>
      </c>
    </row>
    <row r="134" spans="1:6" x14ac:dyDescent="0.3">
      <c r="A134">
        <v>1133</v>
      </c>
      <c r="B134" t="s">
        <v>6</v>
      </c>
      <c r="C134">
        <v>184303</v>
      </c>
      <c r="D134">
        <v>71</v>
      </c>
      <c r="E134" t="s">
        <v>13</v>
      </c>
      <c r="F134" t="s">
        <v>23</v>
      </c>
    </row>
    <row r="135" spans="1:6" x14ac:dyDescent="0.3">
      <c r="A135">
        <v>1134</v>
      </c>
      <c r="B135" t="s">
        <v>21</v>
      </c>
      <c r="C135">
        <v>174326</v>
      </c>
      <c r="D135">
        <v>27</v>
      </c>
      <c r="E135" t="s">
        <v>16</v>
      </c>
      <c r="F135" t="s">
        <v>14</v>
      </c>
    </row>
    <row r="136" spans="1:6" x14ac:dyDescent="0.3">
      <c r="A136">
        <v>1135</v>
      </c>
      <c r="B136" t="s">
        <v>24</v>
      </c>
      <c r="C136">
        <v>158965</v>
      </c>
      <c r="D136">
        <v>57</v>
      </c>
      <c r="E136" t="s">
        <v>10</v>
      </c>
      <c r="F136" t="s">
        <v>32</v>
      </c>
    </row>
    <row r="137" spans="1:6" x14ac:dyDescent="0.3">
      <c r="A137">
        <v>1136</v>
      </c>
      <c r="B137" t="s">
        <v>9</v>
      </c>
      <c r="C137">
        <v>128208</v>
      </c>
      <c r="D137">
        <v>57</v>
      </c>
      <c r="E137" t="s">
        <v>13</v>
      </c>
      <c r="F137" t="s">
        <v>32</v>
      </c>
    </row>
    <row r="138" spans="1:6" x14ac:dyDescent="0.3">
      <c r="A138">
        <v>1137</v>
      </c>
      <c r="B138" t="s">
        <v>15</v>
      </c>
      <c r="C138">
        <v>13964</v>
      </c>
      <c r="D138">
        <v>62</v>
      </c>
      <c r="E138" t="s">
        <v>22</v>
      </c>
      <c r="F138" t="s">
        <v>20</v>
      </c>
    </row>
    <row r="139" spans="1:6" x14ac:dyDescent="0.3">
      <c r="A139">
        <v>1138</v>
      </c>
      <c r="B139" t="s">
        <v>21</v>
      </c>
      <c r="C139">
        <v>113799</v>
      </c>
      <c r="D139">
        <v>7</v>
      </c>
      <c r="E139" t="s">
        <v>10</v>
      </c>
      <c r="F139" t="s">
        <v>14</v>
      </c>
    </row>
    <row r="140" spans="1:6" x14ac:dyDescent="0.3">
      <c r="A140">
        <v>1139</v>
      </c>
      <c r="B140" t="s">
        <v>18</v>
      </c>
      <c r="C140">
        <v>138697</v>
      </c>
      <c r="D140">
        <v>33</v>
      </c>
      <c r="E140" t="s">
        <v>27</v>
      </c>
      <c r="F140" t="s">
        <v>20</v>
      </c>
    </row>
    <row r="141" spans="1:6" x14ac:dyDescent="0.3">
      <c r="A141">
        <v>1140</v>
      </c>
      <c r="B141" t="s">
        <v>9</v>
      </c>
      <c r="C141">
        <v>85192</v>
      </c>
      <c r="D141">
        <v>29</v>
      </c>
      <c r="E141" t="s">
        <v>34</v>
      </c>
      <c r="F141" t="s">
        <v>33</v>
      </c>
    </row>
    <row r="142" spans="1:6" x14ac:dyDescent="0.3">
      <c r="A142">
        <v>1141</v>
      </c>
      <c r="B142" t="s">
        <v>18</v>
      </c>
      <c r="C142">
        <v>84190</v>
      </c>
      <c r="D142">
        <v>26</v>
      </c>
      <c r="E142" t="s">
        <v>10</v>
      </c>
      <c r="F142" t="s">
        <v>20</v>
      </c>
    </row>
    <row r="143" spans="1:6" x14ac:dyDescent="0.3">
      <c r="A143">
        <v>1142</v>
      </c>
      <c r="B143" t="s">
        <v>24</v>
      </c>
      <c r="C143">
        <v>115628</v>
      </c>
      <c r="D143">
        <v>57</v>
      </c>
      <c r="E143" t="s">
        <v>7</v>
      </c>
      <c r="F143" t="s">
        <v>8</v>
      </c>
    </row>
    <row r="144" spans="1:6" x14ac:dyDescent="0.3">
      <c r="A144">
        <v>1143</v>
      </c>
      <c r="B144" t="s">
        <v>21</v>
      </c>
      <c r="C144">
        <v>145809</v>
      </c>
      <c r="D144">
        <v>74</v>
      </c>
      <c r="E144" t="s">
        <v>34</v>
      </c>
      <c r="F144" t="s">
        <v>8</v>
      </c>
    </row>
    <row r="145" spans="1:6" x14ac:dyDescent="0.3">
      <c r="A145">
        <v>1144</v>
      </c>
      <c r="B145" t="s">
        <v>24</v>
      </c>
      <c r="C145">
        <v>28844</v>
      </c>
      <c r="D145">
        <v>18</v>
      </c>
      <c r="E145" t="s">
        <v>26</v>
      </c>
      <c r="F145" t="s">
        <v>17</v>
      </c>
    </row>
    <row r="146" spans="1:6" x14ac:dyDescent="0.3">
      <c r="A146">
        <v>1145</v>
      </c>
      <c r="B146" t="s">
        <v>28</v>
      </c>
      <c r="C146">
        <v>118594</v>
      </c>
      <c r="D146">
        <v>53</v>
      </c>
      <c r="E146" t="s">
        <v>27</v>
      </c>
      <c r="F146" t="s">
        <v>32</v>
      </c>
    </row>
    <row r="147" spans="1:6" x14ac:dyDescent="0.3">
      <c r="A147">
        <v>1146</v>
      </c>
      <c r="B147" t="s">
        <v>25</v>
      </c>
      <c r="C147">
        <v>161330</v>
      </c>
      <c r="D147">
        <v>70</v>
      </c>
      <c r="E147" t="s">
        <v>34</v>
      </c>
      <c r="F147" t="s">
        <v>17</v>
      </c>
    </row>
    <row r="148" spans="1:6" x14ac:dyDescent="0.3">
      <c r="A148">
        <v>1147</v>
      </c>
      <c r="B148" t="s">
        <v>25</v>
      </c>
      <c r="C148">
        <v>93274</v>
      </c>
      <c r="D148">
        <v>67</v>
      </c>
      <c r="E148" t="s">
        <v>19</v>
      </c>
      <c r="F148" t="s">
        <v>33</v>
      </c>
    </row>
    <row r="149" spans="1:6" x14ac:dyDescent="0.3">
      <c r="A149">
        <v>1148</v>
      </c>
      <c r="B149" t="s">
        <v>9</v>
      </c>
      <c r="C149">
        <v>91895</v>
      </c>
      <c r="D149">
        <v>28</v>
      </c>
      <c r="E149" t="s">
        <v>16</v>
      </c>
      <c r="F149" t="s">
        <v>32</v>
      </c>
    </row>
    <row r="150" spans="1:6" x14ac:dyDescent="0.3">
      <c r="A150">
        <v>1149</v>
      </c>
      <c r="B150" t="s">
        <v>31</v>
      </c>
      <c r="C150">
        <v>159709</v>
      </c>
      <c r="D150">
        <v>97</v>
      </c>
      <c r="E150" t="s">
        <v>34</v>
      </c>
      <c r="F150" t="s">
        <v>11</v>
      </c>
    </row>
    <row r="151" spans="1:6" x14ac:dyDescent="0.3">
      <c r="A151">
        <v>1150</v>
      </c>
      <c r="B151" t="s">
        <v>15</v>
      </c>
      <c r="C151">
        <v>156295</v>
      </c>
      <c r="D151">
        <v>48</v>
      </c>
      <c r="E151" t="s">
        <v>16</v>
      </c>
      <c r="F151" t="s">
        <v>14</v>
      </c>
    </row>
    <row r="152" spans="1:6" x14ac:dyDescent="0.3">
      <c r="A152">
        <v>1151</v>
      </c>
      <c r="B152" t="s">
        <v>6</v>
      </c>
      <c r="C152">
        <v>128842</v>
      </c>
      <c r="D152">
        <v>89</v>
      </c>
      <c r="E152" t="s">
        <v>34</v>
      </c>
      <c r="F152" t="s">
        <v>20</v>
      </c>
    </row>
    <row r="153" spans="1:6" x14ac:dyDescent="0.3">
      <c r="A153">
        <v>1152</v>
      </c>
      <c r="B153" t="s">
        <v>21</v>
      </c>
      <c r="C153">
        <v>171355</v>
      </c>
      <c r="D153">
        <v>24</v>
      </c>
      <c r="E153" t="s">
        <v>19</v>
      </c>
      <c r="F153" t="s">
        <v>11</v>
      </c>
    </row>
    <row r="154" spans="1:6" x14ac:dyDescent="0.3">
      <c r="A154">
        <v>1153</v>
      </c>
      <c r="B154" t="s">
        <v>15</v>
      </c>
      <c r="C154">
        <v>13865</v>
      </c>
      <c r="D154">
        <v>45</v>
      </c>
      <c r="E154" t="s">
        <v>13</v>
      </c>
      <c r="F154" t="s">
        <v>30</v>
      </c>
    </row>
    <row r="155" spans="1:6" x14ac:dyDescent="0.3">
      <c r="A155">
        <v>1154</v>
      </c>
      <c r="B155" t="s">
        <v>9</v>
      </c>
      <c r="C155">
        <v>61491</v>
      </c>
      <c r="D155">
        <v>69</v>
      </c>
      <c r="E155" t="s">
        <v>10</v>
      </c>
      <c r="F155" t="s">
        <v>14</v>
      </c>
    </row>
    <row r="156" spans="1:6" x14ac:dyDescent="0.3">
      <c r="A156">
        <v>1155</v>
      </c>
      <c r="B156" t="s">
        <v>28</v>
      </c>
      <c r="C156">
        <v>60849</v>
      </c>
      <c r="D156">
        <v>37</v>
      </c>
      <c r="E156" t="s">
        <v>26</v>
      </c>
      <c r="F156" t="s">
        <v>14</v>
      </c>
    </row>
    <row r="157" spans="1:6" x14ac:dyDescent="0.3">
      <c r="A157">
        <v>1156</v>
      </c>
      <c r="B157" t="s">
        <v>31</v>
      </c>
      <c r="C157">
        <v>25711</v>
      </c>
      <c r="D157">
        <v>6</v>
      </c>
      <c r="E157" t="s">
        <v>22</v>
      </c>
      <c r="F157" t="s">
        <v>14</v>
      </c>
    </row>
    <row r="158" spans="1:6" x14ac:dyDescent="0.3">
      <c r="A158">
        <v>1157</v>
      </c>
      <c r="B158" t="s">
        <v>6</v>
      </c>
      <c r="C158">
        <v>30011</v>
      </c>
      <c r="D158">
        <v>22</v>
      </c>
      <c r="E158" t="s">
        <v>10</v>
      </c>
      <c r="F158" t="s">
        <v>32</v>
      </c>
    </row>
    <row r="159" spans="1:6" x14ac:dyDescent="0.3">
      <c r="A159">
        <v>1158</v>
      </c>
      <c r="B159" t="s">
        <v>31</v>
      </c>
      <c r="C159">
        <v>158424</v>
      </c>
      <c r="D159">
        <v>51</v>
      </c>
      <c r="E159" t="s">
        <v>19</v>
      </c>
      <c r="F159" t="s">
        <v>32</v>
      </c>
    </row>
    <row r="160" spans="1:6" x14ac:dyDescent="0.3">
      <c r="A160">
        <v>1159</v>
      </c>
      <c r="B160" t="s">
        <v>24</v>
      </c>
      <c r="C160">
        <v>194294</v>
      </c>
      <c r="D160">
        <v>86</v>
      </c>
      <c r="E160" t="s">
        <v>7</v>
      </c>
      <c r="F160" t="s">
        <v>30</v>
      </c>
    </row>
    <row r="161" spans="1:6" x14ac:dyDescent="0.3">
      <c r="A161">
        <v>1160</v>
      </c>
      <c r="B161" t="s">
        <v>6</v>
      </c>
      <c r="C161">
        <v>137891</v>
      </c>
      <c r="D161">
        <v>8</v>
      </c>
      <c r="E161" t="s">
        <v>22</v>
      </c>
      <c r="F161" t="s">
        <v>17</v>
      </c>
    </row>
    <row r="162" spans="1:6" x14ac:dyDescent="0.3">
      <c r="A162">
        <v>1161</v>
      </c>
      <c r="B162" t="s">
        <v>18</v>
      </c>
      <c r="C162">
        <v>122208</v>
      </c>
      <c r="D162">
        <v>15</v>
      </c>
      <c r="E162" t="s">
        <v>13</v>
      </c>
      <c r="F162" t="s">
        <v>8</v>
      </c>
    </row>
    <row r="163" spans="1:6" x14ac:dyDescent="0.3">
      <c r="A163">
        <v>1162</v>
      </c>
      <c r="B163" t="s">
        <v>21</v>
      </c>
      <c r="C163">
        <v>120649</v>
      </c>
      <c r="D163">
        <v>42</v>
      </c>
      <c r="E163" t="s">
        <v>26</v>
      </c>
      <c r="F163" t="s">
        <v>29</v>
      </c>
    </row>
    <row r="164" spans="1:6" x14ac:dyDescent="0.3">
      <c r="A164">
        <v>1163</v>
      </c>
      <c r="B164" t="s">
        <v>15</v>
      </c>
      <c r="C164">
        <v>120707</v>
      </c>
      <c r="D164">
        <v>94</v>
      </c>
      <c r="E164" t="s">
        <v>19</v>
      </c>
      <c r="F164" t="s">
        <v>8</v>
      </c>
    </row>
    <row r="165" spans="1:6" x14ac:dyDescent="0.3">
      <c r="A165">
        <v>1164</v>
      </c>
      <c r="B165" t="s">
        <v>25</v>
      </c>
      <c r="C165">
        <v>148731</v>
      </c>
      <c r="D165">
        <v>92</v>
      </c>
      <c r="E165" t="s">
        <v>26</v>
      </c>
      <c r="F165" t="s">
        <v>11</v>
      </c>
    </row>
    <row r="166" spans="1:6" x14ac:dyDescent="0.3">
      <c r="A166">
        <v>1165</v>
      </c>
      <c r="B166" t="s">
        <v>21</v>
      </c>
      <c r="C166">
        <v>43983</v>
      </c>
      <c r="D166">
        <v>10</v>
      </c>
      <c r="E166" t="s">
        <v>7</v>
      </c>
      <c r="F166" t="s">
        <v>14</v>
      </c>
    </row>
    <row r="167" spans="1:6" x14ac:dyDescent="0.3">
      <c r="A167">
        <v>1166</v>
      </c>
      <c r="B167" t="s">
        <v>15</v>
      </c>
      <c r="C167">
        <v>189944</v>
      </c>
      <c r="D167">
        <v>92</v>
      </c>
      <c r="E167" t="s">
        <v>16</v>
      </c>
      <c r="F167" t="s">
        <v>33</v>
      </c>
    </row>
    <row r="168" spans="1:6" x14ac:dyDescent="0.3">
      <c r="A168">
        <v>1167</v>
      </c>
      <c r="B168" t="s">
        <v>28</v>
      </c>
      <c r="C168">
        <v>69197</v>
      </c>
      <c r="D168">
        <v>58</v>
      </c>
      <c r="E168" t="s">
        <v>26</v>
      </c>
      <c r="F168" t="s">
        <v>20</v>
      </c>
    </row>
    <row r="169" spans="1:6" x14ac:dyDescent="0.3">
      <c r="A169">
        <v>1168</v>
      </c>
      <c r="B169" t="s">
        <v>28</v>
      </c>
      <c r="C169">
        <v>36059</v>
      </c>
      <c r="D169">
        <v>93</v>
      </c>
      <c r="E169" t="s">
        <v>7</v>
      </c>
      <c r="F169" t="s">
        <v>29</v>
      </c>
    </row>
    <row r="170" spans="1:6" x14ac:dyDescent="0.3">
      <c r="A170">
        <v>1169</v>
      </c>
      <c r="B170" t="s">
        <v>9</v>
      </c>
      <c r="C170">
        <v>95320</v>
      </c>
      <c r="D170">
        <v>91</v>
      </c>
      <c r="E170" t="s">
        <v>22</v>
      </c>
      <c r="F170" t="s">
        <v>30</v>
      </c>
    </row>
    <row r="171" spans="1:6" x14ac:dyDescent="0.3">
      <c r="A171">
        <v>1170</v>
      </c>
      <c r="B171" t="s">
        <v>15</v>
      </c>
      <c r="C171">
        <v>148201</v>
      </c>
      <c r="D171">
        <v>88</v>
      </c>
      <c r="E171" t="s">
        <v>10</v>
      </c>
      <c r="F171" t="s">
        <v>8</v>
      </c>
    </row>
    <row r="172" spans="1:6" x14ac:dyDescent="0.3">
      <c r="A172">
        <v>1171</v>
      </c>
      <c r="B172" t="s">
        <v>28</v>
      </c>
      <c r="C172">
        <v>175673</v>
      </c>
      <c r="D172">
        <v>30</v>
      </c>
      <c r="E172" t="s">
        <v>19</v>
      </c>
      <c r="F172" t="s">
        <v>14</v>
      </c>
    </row>
    <row r="173" spans="1:6" x14ac:dyDescent="0.3">
      <c r="A173">
        <v>1172</v>
      </c>
      <c r="B173" t="s">
        <v>9</v>
      </c>
      <c r="C173">
        <v>174592</v>
      </c>
      <c r="D173">
        <v>73</v>
      </c>
      <c r="E173" t="s">
        <v>27</v>
      </c>
      <c r="F173" t="s">
        <v>23</v>
      </c>
    </row>
    <row r="174" spans="1:6" x14ac:dyDescent="0.3">
      <c r="A174">
        <v>1173</v>
      </c>
      <c r="B174" t="s">
        <v>31</v>
      </c>
      <c r="C174">
        <v>94202</v>
      </c>
      <c r="D174">
        <v>28</v>
      </c>
      <c r="E174" t="s">
        <v>7</v>
      </c>
      <c r="F174" t="s">
        <v>17</v>
      </c>
    </row>
    <row r="175" spans="1:6" x14ac:dyDescent="0.3">
      <c r="A175">
        <v>1174</v>
      </c>
      <c r="B175" t="s">
        <v>21</v>
      </c>
      <c r="C175">
        <v>146646</v>
      </c>
      <c r="D175">
        <v>53</v>
      </c>
      <c r="E175" t="s">
        <v>34</v>
      </c>
      <c r="F175" t="s">
        <v>11</v>
      </c>
    </row>
    <row r="176" spans="1:6" x14ac:dyDescent="0.3">
      <c r="A176">
        <v>1175</v>
      </c>
      <c r="B176" t="s">
        <v>9</v>
      </c>
      <c r="C176">
        <v>63131</v>
      </c>
      <c r="D176">
        <v>16</v>
      </c>
      <c r="E176" t="s">
        <v>13</v>
      </c>
      <c r="F176" t="s">
        <v>33</v>
      </c>
    </row>
    <row r="177" spans="1:6" x14ac:dyDescent="0.3">
      <c r="A177">
        <v>1176</v>
      </c>
      <c r="B177" t="s">
        <v>15</v>
      </c>
      <c r="C177">
        <v>5346</v>
      </c>
      <c r="D177">
        <v>42</v>
      </c>
      <c r="E177" t="s">
        <v>27</v>
      </c>
      <c r="F177" t="s">
        <v>20</v>
      </c>
    </row>
    <row r="178" spans="1:6" x14ac:dyDescent="0.3">
      <c r="A178">
        <v>1177</v>
      </c>
      <c r="B178" t="s">
        <v>31</v>
      </c>
      <c r="C178">
        <v>98361</v>
      </c>
      <c r="D178">
        <v>29</v>
      </c>
      <c r="E178" t="s">
        <v>10</v>
      </c>
      <c r="F178" t="s">
        <v>8</v>
      </c>
    </row>
    <row r="179" spans="1:6" x14ac:dyDescent="0.3">
      <c r="A179">
        <v>1178</v>
      </c>
      <c r="B179" t="s">
        <v>18</v>
      </c>
      <c r="C179">
        <v>186909</v>
      </c>
      <c r="D179">
        <v>75</v>
      </c>
      <c r="E179" t="s">
        <v>13</v>
      </c>
      <c r="F179" t="s">
        <v>14</v>
      </c>
    </row>
    <row r="180" spans="1:6" x14ac:dyDescent="0.3">
      <c r="A180">
        <v>1179</v>
      </c>
      <c r="B180" t="s">
        <v>24</v>
      </c>
      <c r="C180">
        <v>25074</v>
      </c>
      <c r="D180">
        <v>96</v>
      </c>
      <c r="E180" t="s">
        <v>26</v>
      </c>
      <c r="F180" t="s">
        <v>20</v>
      </c>
    </row>
    <row r="181" spans="1:6" x14ac:dyDescent="0.3">
      <c r="A181">
        <v>1180</v>
      </c>
      <c r="B181" t="s">
        <v>25</v>
      </c>
      <c r="C181">
        <v>160032</v>
      </c>
      <c r="D181">
        <v>100</v>
      </c>
      <c r="E181" t="s">
        <v>10</v>
      </c>
      <c r="F181" t="s">
        <v>33</v>
      </c>
    </row>
    <row r="182" spans="1:6" x14ac:dyDescent="0.3">
      <c r="A182">
        <v>1181</v>
      </c>
      <c r="B182" t="s">
        <v>31</v>
      </c>
      <c r="C182">
        <v>51138</v>
      </c>
      <c r="D182">
        <v>29</v>
      </c>
      <c r="E182" t="s">
        <v>27</v>
      </c>
      <c r="F182" t="s">
        <v>14</v>
      </c>
    </row>
    <row r="183" spans="1:6" x14ac:dyDescent="0.3">
      <c r="A183">
        <v>1182</v>
      </c>
      <c r="B183" t="s">
        <v>25</v>
      </c>
      <c r="C183">
        <v>103881</v>
      </c>
      <c r="D183">
        <v>97</v>
      </c>
      <c r="E183" t="s">
        <v>10</v>
      </c>
      <c r="F183" t="s">
        <v>30</v>
      </c>
    </row>
    <row r="184" spans="1:6" x14ac:dyDescent="0.3">
      <c r="A184">
        <v>1183</v>
      </c>
      <c r="B184" t="s">
        <v>15</v>
      </c>
      <c r="C184">
        <v>188555</v>
      </c>
      <c r="D184">
        <v>86</v>
      </c>
      <c r="E184" t="s">
        <v>22</v>
      </c>
      <c r="F184" t="s">
        <v>33</v>
      </c>
    </row>
    <row r="185" spans="1:6" x14ac:dyDescent="0.3">
      <c r="A185">
        <v>1184</v>
      </c>
      <c r="B185" t="s">
        <v>25</v>
      </c>
      <c r="C185">
        <v>60508</v>
      </c>
      <c r="D185">
        <v>51</v>
      </c>
      <c r="E185" t="s">
        <v>10</v>
      </c>
      <c r="F185" t="s">
        <v>20</v>
      </c>
    </row>
    <row r="186" spans="1:6" x14ac:dyDescent="0.3">
      <c r="A186">
        <v>1185</v>
      </c>
      <c r="B186" t="s">
        <v>31</v>
      </c>
      <c r="C186">
        <v>199561</v>
      </c>
      <c r="D186">
        <v>30</v>
      </c>
      <c r="E186" t="s">
        <v>10</v>
      </c>
      <c r="F186" t="s">
        <v>11</v>
      </c>
    </row>
    <row r="187" spans="1:6" x14ac:dyDescent="0.3">
      <c r="A187">
        <v>1186</v>
      </c>
      <c r="B187" t="s">
        <v>18</v>
      </c>
      <c r="C187">
        <v>5263</v>
      </c>
      <c r="D187">
        <v>38</v>
      </c>
      <c r="E187" t="s">
        <v>19</v>
      </c>
      <c r="F187" t="s">
        <v>30</v>
      </c>
    </row>
    <row r="188" spans="1:6" x14ac:dyDescent="0.3">
      <c r="A188">
        <v>1187</v>
      </c>
      <c r="B188" t="s">
        <v>18</v>
      </c>
      <c r="C188">
        <v>86378</v>
      </c>
      <c r="D188">
        <v>52</v>
      </c>
      <c r="E188" t="s">
        <v>34</v>
      </c>
      <c r="F188" t="s">
        <v>11</v>
      </c>
    </row>
    <row r="189" spans="1:6" x14ac:dyDescent="0.3">
      <c r="A189">
        <v>1188</v>
      </c>
      <c r="B189" t="s">
        <v>9</v>
      </c>
      <c r="C189">
        <v>49078</v>
      </c>
      <c r="D189">
        <v>70</v>
      </c>
      <c r="E189" t="s">
        <v>34</v>
      </c>
      <c r="F189" t="s">
        <v>17</v>
      </c>
    </row>
    <row r="190" spans="1:6" x14ac:dyDescent="0.3">
      <c r="A190">
        <v>1189</v>
      </c>
      <c r="B190" t="s">
        <v>15</v>
      </c>
      <c r="C190">
        <v>145524</v>
      </c>
      <c r="D190">
        <v>79</v>
      </c>
      <c r="E190" t="s">
        <v>7</v>
      </c>
      <c r="F190" t="s">
        <v>17</v>
      </c>
    </row>
    <row r="191" spans="1:6" x14ac:dyDescent="0.3">
      <c r="A191">
        <v>1190</v>
      </c>
      <c r="B191" t="s">
        <v>28</v>
      </c>
      <c r="C191">
        <v>178886</v>
      </c>
      <c r="D191">
        <v>86</v>
      </c>
      <c r="E191" t="s">
        <v>26</v>
      </c>
      <c r="F191" t="s">
        <v>30</v>
      </c>
    </row>
    <row r="192" spans="1:6" x14ac:dyDescent="0.3">
      <c r="A192">
        <v>1191</v>
      </c>
      <c r="B192" t="s">
        <v>15</v>
      </c>
      <c r="C192">
        <v>133678</v>
      </c>
      <c r="D192">
        <v>45</v>
      </c>
      <c r="E192" t="s">
        <v>19</v>
      </c>
      <c r="F192" t="s">
        <v>14</v>
      </c>
    </row>
    <row r="193" spans="1:6" x14ac:dyDescent="0.3">
      <c r="A193">
        <v>1192</v>
      </c>
      <c r="B193" t="s">
        <v>24</v>
      </c>
      <c r="C193">
        <v>13858</v>
      </c>
      <c r="D193">
        <v>70</v>
      </c>
      <c r="E193" t="s">
        <v>34</v>
      </c>
      <c r="F193" t="s">
        <v>8</v>
      </c>
    </row>
    <row r="194" spans="1:6" x14ac:dyDescent="0.3">
      <c r="A194">
        <v>1193</v>
      </c>
      <c r="B194" t="s">
        <v>15</v>
      </c>
      <c r="C194">
        <v>185443</v>
      </c>
      <c r="D194">
        <v>47</v>
      </c>
      <c r="E194" t="s">
        <v>10</v>
      </c>
      <c r="F194" t="s">
        <v>17</v>
      </c>
    </row>
    <row r="195" spans="1:6" x14ac:dyDescent="0.3">
      <c r="A195">
        <v>1194</v>
      </c>
      <c r="B195" t="s">
        <v>18</v>
      </c>
      <c r="C195">
        <v>32131</v>
      </c>
      <c r="D195">
        <v>76</v>
      </c>
      <c r="E195" t="s">
        <v>26</v>
      </c>
      <c r="F195" t="s">
        <v>14</v>
      </c>
    </row>
    <row r="196" spans="1:6" x14ac:dyDescent="0.3">
      <c r="A196">
        <v>1195</v>
      </c>
      <c r="B196" t="s">
        <v>15</v>
      </c>
      <c r="C196">
        <v>160190</v>
      </c>
      <c r="D196">
        <v>48</v>
      </c>
      <c r="E196" t="s">
        <v>16</v>
      </c>
      <c r="F196" t="s">
        <v>14</v>
      </c>
    </row>
    <row r="197" spans="1:6" x14ac:dyDescent="0.3">
      <c r="A197">
        <v>1196</v>
      </c>
      <c r="B197" t="s">
        <v>12</v>
      </c>
      <c r="C197">
        <v>6269</v>
      </c>
      <c r="D197">
        <v>52</v>
      </c>
      <c r="E197" t="s">
        <v>22</v>
      </c>
      <c r="F197" t="s">
        <v>29</v>
      </c>
    </row>
    <row r="198" spans="1:6" x14ac:dyDescent="0.3">
      <c r="A198">
        <v>1197</v>
      </c>
      <c r="B198" t="s">
        <v>31</v>
      </c>
      <c r="C198">
        <v>74596</v>
      </c>
      <c r="D198">
        <v>36</v>
      </c>
      <c r="E198" t="s">
        <v>19</v>
      </c>
      <c r="F198" t="s">
        <v>33</v>
      </c>
    </row>
    <row r="199" spans="1:6" x14ac:dyDescent="0.3">
      <c r="A199">
        <v>1198</v>
      </c>
      <c r="B199" t="s">
        <v>18</v>
      </c>
      <c r="C199">
        <v>53249</v>
      </c>
      <c r="D199">
        <v>70</v>
      </c>
      <c r="E199" t="s">
        <v>16</v>
      </c>
      <c r="F199" t="s">
        <v>17</v>
      </c>
    </row>
    <row r="200" spans="1:6" x14ac:dyDescent="0.3">
      <c r="A200">
        <v>1199</v>
      </c>
      <c r="B200" t="s">
        <v>9</v>
      </c>
      <c r="C200">
        <v>135523</v>
      </c>
      <c r="D200">
        <v>76</v>
      </c>
      <c r="E200" t="s">
        <v>27</v>
      </c>
      <c r="F200" t="s">
        <v>11</v>
      </c>
    </row>
    <row r="201" spans="1:6" x14ac:dyDescent="0.3">
      <c r="A201">
        <v>1200</v>
      </c>
      <c r="B201" t="s">
        <v>21</v>
      </c>
      <c r="C201">
        <v>23253</v>
      </c>
      <c r="D201">
        <v>27</v>
      </c>
      <c r="E201" t="s">
        <v>22</v>
      </c>
      <c r="F201" t="s">
        <v>33</v>
      </c>
    </row>
    <row r="202" spans="1:6" x14ac:dyDescent="0.3">
      <c r="A202">
        <v>1201</v>
      </c>
      <c r="B202" t="s">
        <v>28</v>
      </c>
      <c r="C202">
        <v>60582</v>
      </c>
      <c r="D202">
        <v>11</v>
      </c>
      <c r="E202" t="s">
        <v>16</v>
      </c>
      <c r="F202" t="s">
        <v>33</v>
      </c>
    </row>
    <row r="203" spans="1:6" x14ac:dyDescent="0.3">
      <c r="A203">
        <v>1202</v>
      </c>
      <c r="B203" t="s">
        <v>21</v>
      </c>
      <c r="C203">
        <v>160098</v>
      </c>
      <c r="D203">
        <v>63</v>
      </c>
      <c r="E203" t="s">
        <v>19</v>
      </c>
      <c r="F203" t="s">
        <v>17</v>
      </c>
    </row>
    <row r="204" spans="1:6" x14ac:dyDescent="0.3">
      <c r="A204">
        <v>1203</v>
      </c>
      <c r="B204" t="s">
        <v>31</v>
      </c>
      <c r="C204">
        <v>134038</v>
      </c>
      <c r="D204">
        <v>29</v>
      </c>
      <c r="E204" t="s">
        <v>34</v>
      </c>
      <c r="F204" t="s">
        <v>11</v>
      </c>
    </row>
    <row r="205" spans="1:6" x14ac:dyDescent="0.3">
      <c r="A205">
        <v>1204</v>
      </c>
      <c r="B205" t="s">
        <v>9</v>
      </c>
      <c r="C205">
        <v>115574</v>
      </c>
      <c r="D205">
        <v>5</v>
      </c>
      <c r="E205" t="s">
        <v>19</v>
      </c>
      <c r="F205" t="s">
        <v>33</v>
      </c>
    </row>
    <row r="206" spans="1:6" x14ac:dyDescent="0.3">
      <c r="A206">
        <v>1205</v>
      </c>
      <c r="B206" t="s">
        <v>9</v>
      </c>
      <c r="C206">
        <v>120232</v>
      </c>
      <c r="D206">
        <v>77</v>
      </c>
      <c r="E206" t="s">
        <v>16</v>
      </c>
      <c r="F206" t="s">
        <v>20</v>
      </c>
    </row>
    <row r="207" spans="1:6" x14ac:dyDescent="0.3">
      <c r="A207">
        <v>1206</v>
      </c>
      <c r="B207" t="s">
        <v>21</v>
      </c>
      <c r="C207">
        <v>95551</v>
      </c>
      <c r="D207">
        <v>77</v>
      </c>
      <c r="E207" t="s">
        <v>10</v>
      </c>
      <c r="F207" t="s">
        <v>20</v>
      </c>
    </row>
    <row r="208" spans="1:6" x14ac:dyDescent="0.3">
      <c r="A208">
        <v>1207</v>
      </c>
      <c r="B208" t="s">
        <v>6</v>
      </c>
      <c r="C208">
        <v>29192</v>
      </c>
      <c r="D208">
        <v>78</v>
      </c>
      <c r="E208" t="s">
        <v>7</v>
      </c>
      <c r="F208" t="s">
        <v>23</v>
      </c>
    </row>
    <row r="209" spans="1:6" x14ac:dyDescent="0.3">
      <c r="A209">
        <v>1208</v>
      </c>
      <c r="B209" t="s">
        <v>18</v>
      </c>
      <c r="C209">
        <v>169217</v>
      </c>
      <c r="D209">
        <v>92</v>
      </c>
      <c r="E209" t="s">
        <v>10</v>
      </c>
      <c r="F209" t="s">
        <v>32</v>
      </c>
    </row>
    <row r="210" spans="1:6" x14ac:dyDescent="0.3">
      <c r="A210">
        <v>1209</v>
      </c>
      <c r="B210" t="s">
        <v>9</v>
      </c>
      <c r="C210">
        <v>174081</v>
      </c>
      <c r="D210">
        <v>98</v>
      </c>
      <c r="E210" t="s">
        <v>16</v>
      </c>
      <c r="F210" t="s">
        <v>30</v>
      </c>
    </row>
    <row r="211" spans="1:6" x14ac:dyDescent="0.3">
      <c r="A211">
        <v>1210</v>
      </c>
      <c r="B211" t="s">
        <v>24</v>
      </c>
      <c r="C211">
        <v>75650</v>
      </c>
      <c r="D211">
        <v>93</v>
      </c>
      <c r="E211" t="s">
        <v>10</v>
      </c>
      <c r="F211" t="s">
        <v>30</v>
      </c>
    </row>
    <row r="212" spans="1:6" x14ac:dyDescent="0.3">
      <c r="A212">
        <v>1211</v>
      </c>
      <c r="B212" t="s">
        <v>31</v>
      </c>
      <c r="C212">
        <v>64521</v>
      </c>
      <c r="D212">
        <v>87</v>
      </c>
      <c r="E212" t="s">
        <v>16</v>
      </c>
      <c r="F212" t="s">
        <v>32</v>
      </c>
    </row>
    <row r="213" spans="1:6" x14ac:dyDescent="0.3">
      <c r="A213">
        <v>1212</v>
      </c>
      <c r="B213" t="s">
        <v>28</v>
      </c>
      <c r="C213">
        <v>133814</v>
      </c>
      <c r="D213">
        <v>83</v>
      </c>
      <c r="E213" t="s">
        <v>16</v>
      </c>
      <c r="F213" t="s">
        <v>20</v>
      </c>
    </row>
    <row r="214" spans="1:6" x14ac:dyDescent="0.3">
      <c r="A214">
        <v>1213</v>
      </c>
      <c r="B214" t="s">
        <v>9</v>
      </c>
      <c r="C214">
        <v>48833</v>
      </c>
      <c r="D214">
        <v>99</v>
      </c>
      <c r="E214" t="s">
        <v>10</v>
      </c>
      <c r="F214" t="s">
        <v>23</v>
      </c>
    </row>
    <row r="215" spans="1:6" x14ac:dyDescent="0.3">
      <c r="A215">
        <v>1214</v>
      </c>
      <c r="B215" t="s">
        <v>6</v>
      </c>
      <c r="C215">
        <v>154624</v>
      </c>
      <c r="D215">
        <v>40</v>
      </c>
      <c r="E215" t="s">
        <v>26</v>
      </c>
      <c r="F215" t="s">
        <v>20</v>
      </c>
    </row>
    <row r="216" spans="1:6" x14ac:dyDescent="0.3">
      <c r="A216">
        <v>1215</v>
      </c>
      <c r="B216" t="s">
        <v>9</v>
      </c>
      <c r="C216">
        <v>124644</v>
      </c>
      <c r="D216">
        <v>40</v>
      </c>
      <c r="E216" t="s">
        <v>16</v>
      </c>
      <c r="F216" t="s">
        <v>20</v>
      </c>
    </row>
    <row r="217" spans="1:6" x14ac:dyDescent="0.3">
      <c r="A217">
        <v>1216</v>
      </c>
      <c r="B217" t="s">
        <v>9</v>
      </c>
      <c r="C217">
        <v>84217</v>
      </c>
      <c r="D217">
        <v>93</v>
      </c>
      <c r="E217" t="s">
        <v>26</v>
      </c>
      <c r="F217" t="s">
        <v>30</v>
      </c>
    </row>
    <row r="218" spans="1:6" x14ac:dyDescent="0.3">
      <c r="A218">
        <v>1217</v>
      </c>
      <c r="B218" t="s">
        <v>31</v>
      </c>
      <c r="C218">
        <v>157787</v>
      </c>
      <c r="D218">
        <v>33</v>
      </c>
      <c r="E218" t="s">
        <v>26</v>
      </c>
      <c r="F218" t="s">
        <v>20</v>
      </c>
    </row>
    <row r="219" spans="1:6" x14ac:dyDescent="0.3">
      <c r="A219">
        <v>1218</v>
      </c>
      <c r="B219" t="s">
        <v>15</v>
      </c>
      <c r="C219">
        <v>101219</v>
      </c>
      <c r="D219">
        <v>66</v>
      </c>
      <c r="E219" t="s">
        <v>13</v>
      </c>
      <c r="F219" t="s">
        <v>33</v>
      </c>
    </row>
    <row r="220" spans="1:6" x14ac:dyDescent="0.3">
      <c r="A220">
        <v>1219</v>
      </c>
      <c r="B220" t="s">
        <v>15</v>
      </c>
      <c r="C220">
        <v>78429</v>
      </c>
      <c r="D220">
        <v>96</v>
      </c>
      <c r="E220" t="s">
        <v>7</v>
      </c>
      <c r="F220" t="s">
        <v>20</v>
      </c>
    </row>
    <row r="221" spans="1:6" x14ac:dyDescent="0.3">
      <c r="A221">
        <v>1220</v>
      </c>
      <c r="B221" t="s">
        <v>6</v>
      </c>
      <c r="C221">
        <v>139122</v>
      </c>
      <c r="D221">
        <v>75</v>
      </c>
      <c r="E221" t="s">
        <v>34</v>
      </c>
      <c r="F221" t="s">
        <v>8</v>
      </c>
    </row>
    <row r="222" spans="1:6" x14ac:dyDescent="0.3">
      <c r="A222">
        <v>1221</v>
      </c>
      <c r="B222" t="s">
        <v>31</v>
      </c>
      <c r="C222">
        <v>115913</v>
      </c>
      <c r="D222">
        <v>89</v>
      </c>
      <c r="E222" t="s">
        <v>16</v>
      </c>
      <c r="F222" t="s">
        <v>23</v>
      </c>
    </row>
    <row r="223" spans="1:6" x14ac:dyDescent="0.3">
      <c r="A223">
        <v>1222</v>
      </c>
      <c r="B223" t="s">
        <v>9</v>
      </c>
      <c r="C223">
        <v>147552</v>
      </c>
      <c r="D223">
        <v>57</v>
      </c>
      <c r="E223" t="s">
        <v>22</v>
      </c>
      <c r="F223" t="s">
        <v>14</v>
      </c>
    </row>
    <row r="224" spans="1:6" x14ac:dyDescent="0.3">
      <c r="A224">
        <v>1223</v>
      </c>
      <c r="B224" t="s">
        <v>12</v>
      </c>
      <c r="C224">
        <v>7053</v>
      </c>
      <c r="D224">
        <v>50</v>
      </c>
      <c r="E224" t="s">
        <v>16</v>
      </c>
      <c r="F224" t="s">
        <v>29</v>
      </c>
    </row>
    <row r="225" spans="1:6" x14ac:dyDescent="0.3">
      <c r="A225">
        <v>1224</v>
      </c>
      <c r="B225" t="s">
        <v>12</v>
      </c>
      <c r="C225">
        <v>133967</v>
      </c>
      <c r="D225">
        <v>32</v>
      </c>
      <c r="E225" t="s">
        <v>16</v>
      </c>
      <c r="F225" t="s">
        <v>14</v>
      </c>
    </row>
    <row r="226" spans="1:6" x14ac:dyDescent="0.3">
      <c r="A226">
        <v>1225</v>
      </c>
      <c r="B226" t="s">
        <v>6</v>
      </c>
      <c r="C226">
        <v>114096</v>
      </c>
      <c r="D226">
        <v>67</v>
      </c>
      <c r="E226" t="s">
        <v>22</v>
      </c>
      <c r="F226" t="s">
        <v>29</v>
      </c>
    </row>
    <row r="227" spans="1:6" x14ac:dyDescent="0.3">
      <c r="A227">
        <v>1226</v>
      </c>
      <c r="B227" t="s">
        <v>6</v>
      </c>
      <c r="C227">
        <v>162657</v>
      </c>
      <c r="D227">
        <v>71</v>
      </c>
      <c r="E227" t="s">
        <v>26</v>
      </c>
      <c r="F227" t="s">
        <v>30</v>
      </c>
    </row>
    <row r="228" spans="1:6" x14ac:dyDescent="0.3">
      <c r="A228">
        <v>1227</v>
      </c>
      <c r="B228" t="s">
        <v>28</v>
      </c>
      <c r="C228">
        <v>138784</v>
      </c>
      <c r="D228">
        <v>6</v>
      </c>
      <c r="E228" t="s">
        <v>7</v>
      </c>
      <c r="F228" t="s">
        <v>23</v>
      </c>
    </row>
    <row r="229" spans="1:6" x14ac:dyDescent="0.3">
      <c r="A229">
        <v>1228</v>
      </c>
      <c r="B229" t="s">
        <v>25</v>
      </c>
      <c r="C229">
        <v>106804</v>
      </c>
      <c r="D229">
        <v>7</v>
      </c>
      <c r="E229" t="s">
        <v>10</v>
      </c>
      <c r="F229" t="s">
        <v>29</v>
      </c>
    </row>
    <row r="230" spans="1:6" x14ac:dyDescent="0.3">
      <c r="A230">
        <v>1229</v>
      </c>
      <c r="B230" t="s">
        <v>25</v>
      </c>
      <c r="C230">
        <v>84848</v>
      </c>
      <c r="D230">
        <v>52</v>
      </c>
      <c r="E230" t="s">
        <v>26</v>
      </c>
      <c r="F230" t="s">
        <v>32</v>
      </c>
    </row>
    <row r="231" spans="1:6" x14ac:dyDescent="0.3">
      <c r="A231">
        <v>1230</v>
      </c>
      <c r="B231" t="s">
        <v>21</v>
      </c>
      <c r="C231">
        <v>157015</v>
      </c>
      <c r="D231">
        <v>57</v>
      </c>
      <c r="E231" t="s">
        <v>27</v>
      </c>
      <c r="F231" t="s">
        <v>30</v>
      </c>
    </row>
    <row r="232" spans="1:6" x14ac:dyDescent="0.3">
      <c r="A232">
        <v>1231</v>
      </c>
      <c r="B232" t="s">
        <v>28</v>
      </c>
      <c r="C232">
        <v>48803</v>
      </c>
      <c r="D232">
        <v>89</v>
      </c>
      <c r="E232" t="s">
        <v>27</v>
      </c>
      <c r="F232" t="s">
        <v>20</v>
      </c>
    </row>
    <row r="233" spans="1:6" x14ac:dyDescent="0.3">
      <c r="A233">
        <v>1232</v>
      </c>
      <c r="B233" t="s">
        <v>6</v>
      </c>
      <c r="C233">
        <v>67472</v>
      </c>
      <c r="D233">
        <v>7</v>
      </c>
      <c r="E233" t="s">
        <v>19</v>
      </c>
      <c r="F233" t="s">
        <v>30</v>
      </c>
    </row>
    <row r="234" spans="1:6" x14ac:dyDescent="0.3">
      <c r="A234">
        <v>1233</v>
      </c>
      <c r="B234" t="s">
        <v>28</v>
      </c>
      <c r="C234">
        <v>87234</v>
      </c>
      <c r="D234">
        <v>79</v>
      </c>
      <c r="E234" t="s">
        <v>19</v>
      </c>
      <c r="F234" t="s">
        <v>14</v>
      </c>
    </row>
    <row r="235" spans="1:6" x14ac:dyDescent="0.3">
      <c r="A235">
        <v>1234</v>
      </c>
      <c r="B235" t="s">
        <v>9</v>
      </c>
      <c r="C235">
        <v>3729</v>
      </c>
      <c r="D235">
        <v>7</v>
      </c>
      <c r="E235" t="s">
        <v>26</v>
      </c>
      <c r="F235" t="s">
        <v>32</v>
      </c>
    </row>
    <row r="236" spans="1:6" x14ac:dyDescent="0.3">
      <c r="A236">
        <v>1235</v>
      </c>
      <c r="B236" t="s">
        <v>21</v>
      </c>
      <c r="C236">
        <v>175425</v>
      </c>
      <c r="D236">
        <v>91</v>
      </c>
      <c r="E236" t="s">
        <v>27</v>
      </c>
      <c r="F236" t="s">
        <v>29</v>
      </c>
    </row>
    <row r="237" spans="1:6" x14ac:dyDescent="0.3">
      <c r="A237">
        <v>1236</v>
      </c>
      <c r="B237" t="s">
        <v>28</v>
      </c>
      <c r="C237">
        <v>83623</v>
      </c>
      <c r="D237">
        <v>100</v>
      </c>
      <c r="E237" t="s">
        <v>26</v>
      </c>
      <c r="F237" t="s">
        <v>33</v>
      </c>
    </row>
    <row r="238" spans="1:6" x14ac:dyDescent="0.3">
      <c r="A238">
        <v>1237</v>
      </c>
      <c r="B238" t="s">
        <v>12</v>
      </c>
      <c r="C238">
        <v>37746</v>
      </c>
      <c r="D238">
        <v>5</v>
      </c>
      <c r="E238" t="s">
        <v>19</v>
      </c>
      <c r="F238" t="s">
        <v>29</v>
      </c>
    </row>
    <row r="239" spans="1:6" x14ac:dyDescent="0.3">
      <c r="A239">
        <v>1238</v>
      </c>
      <c r="B239" t="s">
        <v>6</v>
      </c>
      <c r="C239">
        <v>85123</v>
      </c>
      <c r="D239">
        <v>87</v>
      </c>
      <c r="E239" t="s">
        <v>34</v>
      </c>
      <c r="F239" t="s">
        <v>29</v>
      </c>
    </row>
    <row r="240" spans="1:6" x14ac:dyDescent="0.3">
      <c r="A240">
        <v>1239</v>
      </c>
      <c r="B240" t="s">
        <v>6</v>
      </c>
      <c r="C240">
        <v>62610</v>
      </c>
      <c r="D240">
        <v>25</v>
      </c>
      <c r="E240" t="s">
        <v>26</v>
      </c>
      <c r="F240" t="s">
        <v>23</v>
      </c>
    </row>
    <row r="241" spans="1:6" x14ac:dyDescent="0.3">
      <c r="A241">
        <v>1240</v>
      </c>
      <c r="B241" t="s">
        <v>21</v>
      </c>
      <c r="C241">
        <v>122102</v>
      </c>
      <c r="D241">
        <v>8</v>
      </c>
      <c r="E241" t="s">
        <v>13</v>
      </c>
      <c r="F241" t="s">
        <v>33</v>
      </c>
    </row>
    <row r="242" spans="1:6" x14ac:dyDescent="0.3">
      <c r="A242">
        <v>1241</v>
      </c>
      <c r="B242" t="s">
        <v>15</v>
      </c>
      <c r="C242">
        <v>27663</v>
      </c>
      <c r="D242">
        <v>23</v>
      </c>
      <c r="E242" t="s">
        <v>22</v>
      </c>
      <c r="F242" t="s">
        <v>17</v>
      </c>
    </row>
    <row r="243" spans="1:6" x14ac:dyDescent="0.3">
      <c r="A243">
        <v>1242</v>
      </c>
      <c r="B243" t="s">
        <v>31</v>
      </c>
      <c r="C243">
        <v>127482</v>
      </c>
      <c r="D243">
        <v>7</v>
      </c>
      <c r="E243" t="s">
        <v>34</v>
      </c>
      <c r="F243" t="s">
        <v>29</v>
      </c>
    </row>
    <row r="244" spans="1:6" x14ac:dyDescent="0.3">
      <c r="A244">
        <v>1243</v>
      </c>
      <c r="B244" t="s">
        <v>25</v>
      </c>
      <c r="C244">
        <v>28004</v>
      </c>
      <c r="D244">
        <v>20</v>
      </c>
      <c r="E244" t="s">
        <v>13</v>
      </c>
      <c r="F244" t="s">
        <v>17</v>
      </c>
    </row>
    <row r="245" spans="1:6" x14ac:dyDescent="0.3">
      <c r="A245">
        <v>1244</v>
      </c>
      <c r="B245" t="s">
        <v>28</v>
      </c>
      <c r="C245">
        <v>25224</v>
      </c>
      <c r="D245">
        <v>13</v>
      </c>
      <c r="E245" t="s">
        <v>26</v>
      </c>
      <c r="F245" t="s">
        <v>29</v>
      </c>
    </row>
    <row r="246" spans="1:6" x14ac:dyDescent="0.3">
      <c r="A246">
        <v>1245</v>
      </c>
      <c r="B246" t="s">
        <v>24</v>
      </c>
      <c r="C246">
        <v>130852</v>
      </c>
      <c r="D246">
        <v>68</v>
      </c>
      <c r="E246" t="s">
        <v>7</v>
      </c>
      <c r="F246" t="s">
        <v>29</v>
      </c>
    </row>
    <row r="247" spans="1:6" x14ac:dyDescent="0.3">
      <c r="A247">
        <v>1246</v>
      </c>
      <c r="B247" t="s">
        <v>6</v>
      </c>
      <c r="C247">
        <v>183088</v>
      </c>
      <c r="D247">
        <v>83</v>
      </c>
      <c r="E247" t="s">
        <v>22</v>
      </c>
      <c r="F247" t="s">
        <v>29</v>
      </c>
    </row>
    <row r="248" spans="1:6" x14ac:dyDescent="0.3">
      <c r="A248">
        <v>1247</v>
      </c>
      <c r="B248" t="s">
        <v>15</v>
      </c>
      <c r="C248">
        <v>183238</v>
      </c>
      <c r="D248">
        <v>67</v>
      </c>
      <c r="E248" t="s">
        <v>19</v>
      </c>
      <c r="F248" t="s">
        <v>20</v>
      </c>
    </row>
    <row r="249" spans="1:6" x14ac:dyDescent="0.3">
      <c r="A249">
        <v>1248</v>
      </c>
      <c r="B249" t="s">
        <v>12</v>
      </c>
      <c r="C249">
        <v>106831</v>
      </c>
      <c r="D249">
        <v>19</v>
      </c>
      <c r="E249" t="s">
        <v>22</v>
      </c>
      <c r="F249" t="s">
        <v>33</v>
      </c>
    </row>
    <row r="250" spans="1:6" x14ac:dyDescent="0.3">
      <c r="A250">
        <v>1249</v>
      </c>
      <c r="B250" t="s">
        <v>24</v>
      </c>
      <c r="C250">
        <v>13858</v>
      </c>
      <c r="D250">
        <v>97</v>
      </c>
      <c r="E250" t="s">
        <v>13</v>
      </c>
      <c r="F250" t="s">
        <v>8</v>
      </c>
    </row>
    <row r="251" spans="1:6" x14ac:dyDescent="0.3">
      <c r="A251">
        <v>1250</v>
      </c>
      <c r="B251" t="s">
        <v>21</v>
      </c>
      <c r="C251">
        <v>133667</v>
      </c>
      <c r="D251">
        <v>75</v>
      </c>
      <c r="E251" t="s">
        <v>16</v>
      </c>
      <c r="F251" t="s">
        <v>14</v>
      </c>
    </row>
    <row r="252" spans="1:6" x14ac:dyDescent="0.3">
      <c r="A252">
        <v>1251</v>
      </c>
      <c r="B252" t="s">
        <v>28</v>
      </c>
      <c r="C252">
        <v>159182</v>
      </c>
      <c r="D252">
        <v>26</v>
      </c>
      <c r="E252" t="s">
        <v>22</v>
      </c>
      <c r="F252" t="s">
        <v>20</v>
      </c>
    </row>
    <row r="253" spans="1:6" x14ac:dyDescent="0.3">
      <c r="A253">
        <v>1252</v>
      </c>
      <c r="B253" t="s">
        <v>24</v>
      </c>
      <c r="C253">
        <v>93066</v>
      </c>
      <c r="D253">
        <v>99</v>
      </c>
      <c r="E253" t="s">
        <v>26</v>
      </c>
      <c r="F253" t="s">
        <v>20</v>
      </c>
    </row>
    <row r="254" spans="1:6" x14ac:dyDescent="0.3">
      <c r="A254">
        <v>1253</v>
      </c>
      <c r="B254" t="s">
        <v>6</v>
      </c>
      <c r="C254">
        <v>188272</v>
      </c>
      <c r="D254">
        <v>17</v>
      </c>
      <c r="E254" t="s">
        <v>10</v>
      </c>
      <c r="F254" t="s">
        <v>20</v>
      </c>
    </row>
    <row r="255" spans="1:6" x14ac:dyDescent="0.3">
      <c r="A255">
        <v>1254</v>
      </c>
      <c r="B255" t="s">
        <v>18</v>
      </c>
      <c r="C255">
        <v>139693</v>
      </c>
      <c r="D255">
        <v>94</v>
      </c>
      <c r="E255" t="s">
        <v>26</v>
      </c>
      <c r="F255" t="s">
        <v>8</v>
      </c>
    </row>
    <row r="256" spans="1:6" x14ac:dyDescent="0.3">
      <c r="A256">
        <v>1255</v>
      </c>
      <c r="B256" t="s">
        <v>9</v>
      </c>
      <c r="C256">
        <v>13222</v>
      </c>
      <c r="D256">
        <v>35</v>
      </c>
      <c r="E256" t="s">
        <v>16</v>
      </c>
      <c r="F256" t="s">
        <v>11</v>
      </c>
    </row>
    <row r="257" spans="1:6" x14ac:dyDescent="0.3">
      <c r="A257">
        <v>1256</v>
      </c>
      <c r="B257" t="s">
        <v>31</v>
      </c>
      <c r="C257">
        <v>94481</v>
      </c>
      <c r="D257">
        <v>68</v>
      </c>
      <c r="E257" t="s">
        <v>16</v>
      </c>
      <c r="F257" t="s">
        <v>11</v>
      </c>
    </row>
    <row r="258" spans="1:6" x14ac:dyDescent="0.3">
      <c r="A258">
        <v>1257</v>
      </c>
      <c r="B258" t="s">
        <v>18</v>
      </c>
      <c r="C258">
        <v>125678</v>
      </c>
      <c r="D258">
        <v>22</v>
      </c>
      <c r="E258" t="s">
        <v>19</v>
      </c>
      <c r="F258" t="s">
        <v>8</v>
      </c>
    </row>
    <row r="259" spans="1:6" x14ac:dyDescent="0.3">
      <c r="A259">
        <v>1258</v>
      </c>
      <c r="B259" t="s">
        <v>25</v>
      </c>
      <c r="C259">
        <v>77118</v>
      </c>
      <c r="D259">
        <v>13</v>
      </c>
      <c r="E259" t="s">
        <v>27</v>
      </c>
      <c r="F259" t="s">
        <v>23</v>
      </c>
    </row>
    <row r="260" spans="1:6" x14ac:dyDescent="0.3">
      <c r="A260">
        <v>1259</v>
      </c>
      <c r="B260" t="s">
        <v>28</v>
      </c>
      <c r="C260">
        <v>32576</v>
      </c>
      <c r="D260">
        <v>6</v>
      </c>
      <c r="E260" t="s">
        <v>27</v>
      </c>
      <c r="F260" t="s">
        <v>17</v>
      </c>
    </row>
    <row r="261" spans="1:6" x14ac:dyDescent="0.3">
      <c r="A261">
        <v>1260</v>
      </c>
      <c r="B261" t="s">
        <v>25</v>
      </c>
      <c r="C261">
        <v>24342</v>
      </c>
      <c r="D261">
        <v>59</v>
      </c>
      <c r="E261" t="s">
        <v>27</v>
      </c>
      <c r="F261" t="s">
        <v>30</v>
      </c>
    </row>
    <row r="262" spans="1:6" x14ac:dyDescent="0.3">
      <c r="A262">
        <v>1261</v>
      </c>
      <c r="B262" t="s">
        <v>9</v>
      </c>
      <c r="C262">
        <v>72347</v>
      </c>
      <c r="D262">
        <v>73</v>
      </c>
      <c r="E262" t="s">
        <v>26</v>
      </c>
      <c r="F262" t="s">
        <v>17</v>
      </c>
    </row>
    <row r="263" spans="1:6" x14ac:dyDescent="0.3">
      <c r="A263">
        <v>1262</v>
      </c>
      <c r="B263" t="s">
        <v>28</v>
      </c>
      <c r="C263">
        <v>37914</v>
      </c>
      <c r="D263">
        <v>23</v>
      </c>
      <c r="E263" t="s">
        <v>7</v>
      </c>
      <c r="F263" t="s">
        <v>17</v>
      </c>
    </row>
    <row r="264" spans="1:6" x14ac:dyDescent="0.3">
      <c r="A264">
        <v>1263</v>
      </c>
      <c r="B264" t="s">
        <v>28</v>
      </c>
      <c r="C264">
        <v>54858</v>
      </c>
      <c r="D264">
        <v>51</v>
      </c>
      <c r="E264" t="s">
        <v>22</v>
      </c>
      <c r="F264" t="s">
        <v>8</v>
      </c>
    </row>
    <row r="265" spans="1:6" x14ac:dyDescent="0.3">
      <c r="A265">
        <v>1264</v>
      </c>
      <c r="B265" t="s">
        <v>6</v>
      </c>
      <c r="C265">
        <v>41988</v>
      </c>
      <c r="D265">
        <v>99</v>
      </c>
      <c r="E265" t="s">
        <v>13</v>
      </c>
      <c r="F265" t="s">
        <v>32</v>
      </c>
    </row>
    <row r="266" spans="1:6" x14ac:dyDescent="0.3">
      <c r="A266">
        <v>1265</v>
      </c>
      <c r="B266" t="s">
        <v>25</v>
      </c>
      <c r="C266">
        <v>108470</v>
      </c>
      <c r="D266">
        <v>37</v>
      </c>
      <c r="E266" t="s">
        <v>16</v>
      </c>
      <c r="F266" t="s">
        <v>14</v>
      </c>
    </row>
    <row r="267" spans="1:6" x14ac:dyDescent="0.3">
      <c r="A267">
        <v>1266</v>
      </c>
      <c r="B267" t="s">
        <v>25</v>
      </c>
      <c r="C267">
        <v>144602</v>
      </c>
      <c r="D267">
        <v>59</v>
      </c>
      <c r="E267" t="s">
        <v>27</v>
      </c>
      <c r="F267" t="s">
        <v>8</v>
      </c>
    </row>
    <row r="268" spans="1:6" x14ac:dyDescent="0.3">
      <c r="A268">
        <v>1267</v>
      </c>
      <c r="B268" t="s">
        <v>25</v>
      </c>
      <c r="C268">
        <v>100026</v>
      </c>
      <c r="D268">
        <v>52</v>
      </c>
      <c r="E268" t="s">
        <v>26</v>
      </c>
      <c r="F268" t="s">
        <v>11</v>
      </c>
    </row>
    <row r="269" spans="1:6" x14ac:dyDescent="0.3">
      <c r="A269">
        <v>1268</v>
      </c>
      <c r="B269" t="s">
        <v>9</v>
      </c>
      <c r="C269">
        <v>109312</v>
      </c>
      <c r="D269">
        <v>76</v>
      </c>
      <c r="E269" t="s">
        <v>10</v>
      </c>
      <c r="F269" t="s">
        <v>14</v>
      </c>
    </row>
    <row r="270" spans="1:6" x14ac:dyDescent="0.3">
      <c r="A270">
        <v>1269</v>
      </c>
      <c r="B270" t="s">
        <v>24</v>
      </c>
      <c r="C270">
        <v>187210</v>
      </c>
      <c r="D270">
        <v>89</v>
      </c>
      <c r="E270" t="s">
        <v>16</v>
      </c>
      <c r="F270" t="s">
        <v>20</v>
      </c>
    </row>
    <row r="271" spans="1:6" x14ac:dyDescent="0.3">
      <c r="A271">
        <v>1270</v>
      </c>
      <c r="B271" t="s">
        <v>12</v>
      </c>
      <c r="C271">
        <v>57334</v>
      </c>
      <c r="D271">
        <v>29</v>
      </c>
      <c r="E271" t="s">
        <v>22</v>
      </c>
      <c r="F271" t="s">
        <v>17</v>
      </c>
    </row>
    <row r="272" spans="1:6" x14ac:dyDescent="0.3">
      <c r="A272">
        <v>1271</v>
      </c>
      <c r="B272" t="s">
        <v>31</v>
      </c>
      <c r="C272">
        <v>114711</v>
      </c>
      <c r="D272">
        <v>15</v>
      </c>
      <c r="E272" t="s">
        <v>10</v>
      </c>
      <c r="F272" t="s">
        <v>33</v>
      </c>
    </row>
    <row r="273" spans="1:6" x14ac:dyDescent="0.3">
      <c r="A273">
        <v>1272</v>
      </c>
      <c r="B273" t="s">
        <v>28</v>
      </c>
      <c r="C273">
        <v>187077</v>
      </c>
      <c r="D273">
        <v>99</v>
      </c>
      <c r="E273" t="s">
        <v>13</v>
      </c>
      <c r="F273" t="s">
        <v>30</v>
      </c>
    </row>
    <row r="274" spans="1:6" x14ac:dyDescent="0.3">
      <c r="A274">
        <v>1273</v>
      </c>
      <c r="B274" t="s">
        <v>12</v>
      </c>
      <c r="C274">
        <v>78607</v>
      </c>
      <c r="D274">
        <v>21</v>
      </c>
      <c r="E274" t="s">
        <v>10</v>
      </c>
      <c r="F274" t="s">
        <v>33</v>
      </c>
    </row>
    <row r="275" spans="1:6" x14ac:dyDescent="0.3">
      <c r="A275">
        <v>1274</v>
      </c>
      <c r="B275" t="s">
        <v>21</v>
      </c>
      <c r="C275">
        <v>11502</v>
      </c>
      <c r="D275">
        <v>66</v>
      </c>
      <c r="E275" t="s">
        <v>19</v>
      </c>
      <c r="F275" t="s">
        <v>11</v>
      </c>
    </row>
    <row r="276" spans="1:6" x14ac:dyDescent="0.3">
      <c r="A276">
        <v>1275</v>
      </c>
      <c r="B276" t="s">
        <v>21</v>
      </c>
      <c r="C276">
        <v>117932</v>
      </c>
      <c r="D276">
        <v>87</v>
      </c>
      <c r="E276" t="s">
        <v>7</v>
      </c>
      <c r="F276" t="s">
        <v>14</v>
      </c>
    </row>
    <row r="277" spans="1:6" x14ac:dyDescent="0.3">
      <c r="A277">
        <v>1276</v>
      </c>
      <c r="B277" t="s">
        <v>6</v>
      </c>
      <c r="C277">
        <v>50499</v>
      </c>
      <c r="D277">
        <v>36</v>
      </c>
      <c r="E277" t="s">
        <v>19</v>
      </c>
      <c r="F277" t="s">
        <v>29</v>
      </c>
    </row>
    <row r="278" spans="1:6" x14ac:dyDescent="0.3">
      <c r="A278">
        <v>1277</v>
      </c>
      <c r="B278" t="s">
        <v>12</v>
      </c>
      <c r="C278">
        <v>74652</v>
      </c>
      <c r="D278">
        <v>15</v>
      </c>
      <c r="E278" t="s">
        <v>19</v>
      </c>
      <c r="F278" t="s">
        <v>30</v>
      </c>
    </row>
    <row r="279" spans="1:6" x14ac:dyDescent="0.3">
      <c r="A279">
        <v>1278</v>
      </c>
      <c r="B279" t="s">
        <v>21</v>
      </c>
      <c r="C279">
        <v>189612</v>
      </c>
      <c r="D279">
        <v>12</v>
      </c>
      <c r="E279" t="s">
        <v>13</v>
      </c>
      <c r="F279" t="s">
        <v>32</v>
      </c>
    </row>
    <row r="280" spans="1:6" x14ac:dyDescent="0.3">
      <c r="A280">
        <v>1279</v>
      </c>
      <c r="B280" t="s">
        <v>15</v>
      </c>
      <c r="C280">
        <v>97504</v>
      </c>
      <c r="D280">
        <v>5</v>
      </c>
      <c r="E280" t="s">
        <v>7</v>
      </c>
      <c r="F280" t="s">
        <v>33</v>
      </c>
    </row>
    <row r="281" spans="1:6" x14ac:dyDescent="0.3">
      <c r="A281">
        <v>1280</v>
      </c>
      <c r="B281" t="s">
        <v>15</v>
      </c>
      <c r="C281">
        <v>185361</v>
      </c>
      <c r="D281">
        <v>91</v>
      </c>
      <c r="E281" t="s">
        <v>7</v>
      </c>
      <c r="F281" t="s">
        <v>20</v>
      </c>
    </row>
    <row r="282" spans="1:6" x14ac:dyDescent="0.3">
      <c r="A282">
        <v>1281</v>
      </c>
      <c r="B282" t="s">
        <v>12</v>
      </c>
      <c r="C282">
        <v>104909</v>
      </c>
      <c r="D282">
        <v>94</v>
      </c>
      <c r="E282" t="s">
        <v>19</v>
      </c>
      <c r="F282" t="s">
        <v>33</v>
      </c>
    </row>
    <row r="283" spans="1:6" x14ac:dyDescent="0.3">
      <c r="A283">
        <v>1282</v>
      </c>
      <c r="B283" t="s">
        <v>24</v>
      </c>
      <c r="C283">
        <v>52634</v>
      </c>
      <c r="D283">
        <v>26</v>
      </c>
      <c r="E283" t="s">
        <v>34</v>
      </c>
      <c r="F283" t="s">
        <v>33</v>
      </c>
    </row>
    <row r="284" spans="1:6" x14ac:dyDescent="0.3">
      <c r="A284">
        <v>1283</v>
      </c>
      <c r="B284" t="s">
        <v>18</v>
      </c>
      <c r="C284">
        <v>69263</v>
      </c>
      <c r="D284">
        <v>35</v>
      </c>
      <c r="E284" t="s">
        <v>34</v>
      </c>
      <c r="F284" t="s">
        <v>29</v>
      </c>
    </row>
    <row r="285" spans="1:6" x14ac:dyDescent="0.3">
      <c r="A285">
        <v>1284</v>
      </c>
      <c r="B285" t="s">
        <v>6</v>
      </c>
      <c r="C285">
        <v>121038</v>
      </c>
      <c r="D285">
        <v>49</v>
      </c>
      <c r="E285" t="s">
        <v>34</v>
      </c>
      <c r="F285" t="s">
        <v>8</v>
      </c>
    </row>
    <row r="286" spans="1:6" x14ac:dyDescent="0.3">
      <c r="A286">
        <v>1285</v>
      </c>
      <c r="B286" t="s">
        <v>9</v>
      </c>
      <c r="C286">
        <v>101107</v>
      </c>
      <c r="D286">
        <v>18</v>
      </c>
      <c r="E286" t="s">
        <v>22</v>
      </c>
      <c r="F286" t="s">
        <v>33</v>
      </c>
    </row>
    <row r="287" spans="1:6" x14ac:dyDescent="0.3">
      <c r="A287">
        <v>1286</v>
      </c>
      <c r="B287" t="s">
        <v>28</v>
      </c>
      <c r="C287">
        <v>185906</v>
      </c>
      <c r="D287">
        <v>53</v>
      </c>
      <c r="E287" t="s">
        <v>7</v>
      </c>
      <c r="F287" t="s">
        <v>20</v>
      </c>
    </row>
    <row r="288" spans="1:6" x14ac:dyDescent="0.3">
      <c r="A288">
        <v>1287</v>
      </c>
      <c r="B288" t="s">
        <v>18</v>
      </c>
      <c r="C288">
        <v>150184</v>
      </c>
      <c r="D288">
        <v>10</v>
      </c>
      <c r="E288" t="s">
        <v>10</v>
      </c>
      <c r="F288" t="s">
        <v>8</v>
      </c>
    </row>
    <row r="289" spans="1:6" x14ac:dyDescent="0.3">
      <c r="A289">
        <v>1288</v>
      </c>
      <c r="B289" t="s">
        <v>24</v>
      </c>
      <c r="C289">
        <v>113232</v>
      </c>
      <c r="D289">
        <v>62</v>
      </c>
      <c r="E289" t="s">
        <v>22</v>
      </c>
      <c r="F289" t="s">
        <v>17</v>
      </c>
    </row>
    <row r="290" spans="1:6" x14ac:dyDescent="0.3">
      <c r="A290">
        <v>1289</v>
      </c>
      <c r="B290" t="s">
        <v>9</v>
      </c>
      <c r="C290">
        <v>193361</v>
      </c>
      <c r="D290">
        <v>61</v>
      </c>
      <c r="E290" t="s">
        <v>10</v>
      </c>
      <c r="F290" t="s">
        <v>14</v>
      </c>
    </row>
    <row r="291" spans="1:6" x14ac:dyDescent="0.3">
      <c r="A291">
        <v>1290</v>
      </c>
      <c r="B291" t="s">
        <v>31</v>
      </c>
      <c r="C291">
        <v>157826</v>
      </c>
      <c r="D291">
        <v>22</v>
      </c>
      <c r="E291" t="s">
        <v>16</v>
      </c>
      <c r="F291" t="s">
        <v>33</v>
      </c>
    </row>
    <row r="292" spans="1:6" x14ac:dyDescent="0.3">
      <c r="A292">
        <v>1291</v>
      </c>
      <c r="B292" t="s">
        <v>18</v>
      </c>
      <c r="C292">
        <v>41041</v>
      </c>
      <c r="D292">
        <v>46</v>
      </c>
      <c r="E292" t="s">
        <v>13</v>
      </c>
      <c r="F292" t="s">
        <v>14</v>
      </c>
    </row>
    <row r="293" spans="1:6" x14ac:dyDescent="0.3">
      <c r="A293">
        <v>1292</v>
      </c>
      <c r="B293" t="s">
        <v>18</v>
      </c>
      <c r="C293">
        <v>44480</v>
      </c>
      <c r="D293">
        <v>70</v>
      </c>
      <c r="E293" t="s">
        <v>34</v>
      </c>
      <c r="F293" t="s">
        <v>32</v>
      </c>
    </row>
    <row r="294" spans="1:6" x14ac:dyDescent="0.3">
      <c r="A294">
        <v>1293</v>
      </c>
      <c r="B294" t="s">
        <v>25</v>
      </c>
      <c r="C294">
        <v>106234</v>
      </c>
      <c r="D294">
        <v>24</v>
      </c>
      <c r="E294" t="s">
        <v>13</v>
      </c>
      <c r="F294" t="s">
        <v>14</v>
      </c>
    </row>
    <row r="295" spans="1:6" x14ac:dyDescent="0.3">
      <c r="A295">
        <v>1294</v>
      </c>
      <c r="B295" t="s">
        <v>31</v>
      </c>
      <c r="C295">
        <v>4471</v>
      </c>
      <c r="D295">
        <v>8</v>
      </c>
      <c r="E295" t="s">
        <v>16</v>
      </c>
      <c r="F295" t="s">
        <v>23</v>
      </c>
    </row>
    <row r="296" spans="1:6" x14ac:dyDescent="0.3">
      <c r="A296">
        <v>1295</v>
      </c>
      <c r="B296" t="s">
        <v>21</v>
      </c>
      <c r="C296">
        <v>69628</v>
      </c>
      <c r="D296">
        <v>58</v>
      </c>
      <c r="E296" t="s">
        <v>7</v>
      </c>
      <c r="F296" t="s">
        <v>33</v>
      </c>
    </row>
    <row r="297" spans="1:6" x14ac:dyDescent="0.3">
      <c r="A297">
        <v>1296</v>
      </c>
      <c r="B297" t="s">
        <v>28</v>
      </c>
      <c r="C297">
        <v>27443</v>
      </c>
      <c r="D297">
        <v>9</v>
      </c>
      <c r="E297" t="s">
        <v>26</v>
      </c>
      <c r="F297" t="s">
        <v>20</v>
      </c>
    </row>
    <row r="298" spans="1:6" x14ac:dyDescent="0.3">
      <c r="A298">
        <v>1297</v>
      </c>
      <c r="B298" t="s">
        <v>24</v>
      </c>
      <c r="C298">
        <v>175379</v>
      </c>
      <c r="D298">
        <v>26</v>
      </c>
      <c r="E298" t="s">
        <v>34</v>
      </c>
      <c r="F298" t="s">
        <v>11</v>
      </c>
    </row>
    <row r="299" spans="1:6" x14ac:dyDescent="0.3">
      <c r="A299">
        <v>1298</v>
      </c>
      <c r="B299" t="s">
        <v>12</v>
      </c>
      <c r="C299">
        <v>146253</v>
      </c>
      <c r="D299">
        <v>58</v>
      </c>
      <c r="E299" t="s">
        <v>34</v>
      </c>
      <c r="F299" t="s">
        <v>32</v>
      </c>
    </row>
    <row r="300" spans="1:6" x14ac:dyDescent="0.3">
      <c r="A300">
        <v>1299</v>
      </c>
      <c r="B300" t="s">
        <v>6</v>
      </c>
      <c r="C300">
        <v>144839</v>
      </c>
      <c r="D300">
        <v>63</v>
      </c>
      <c r="E300" t="s">
        <v>13</v>
      </c>
      <c r="F300" t="s">
        <v>20</v>
      </c>
    </row>
    <row r="301" spans="1:6" x14ac:dyDescent="0.3">
      <c r="A301">
        <v>1300</v>
      </c>
      <c r="B301" t="s">
        <v>21</v>
      </c>
      <c r="C301">
        <v>193640</v>
      </c>
      <c r="D301">
        <v>57</v>
      </c>
      <c r="E301" t="s">
        <v>22</v>
      </c>
      <c r="F301" t="s">
        <v>14</v>
      </c>
    </row>
    <row r="302" spans="1:6" x14ac:dyDescent="0.3">
      <c r="A302">
        <v>1301</v>
      </c>
      <c r="B302" t="s">
        <v>9</v>
      </c>
      <c r="C302">
        <v>37784</v>
      </c>
      <c r="D302">
        <v>26</v>
      </c>
      <c r="E302" t="s">
        <v>10</v>
      </c>
      <c r="F302" t="s">
        <v>33</v>
      </c>
    </row>
    <row r="303" spans="1:6" x14ac:dyDescent="0.3">
      <c r="A303">
        <v>1302</v>
      </c>
      <c r="B303" t="s">
        <v>9</v>
      </c>
      <c r="C303">
        <v>143358</v>
      </c>
      <c r="D303">
        <v>25</v>
      </c>
      <c r="E303" t="s">
        <v>19</v>
      </c>
      <c r="F303" t="s">
        <v>14</v>
      </c>
    </row>
    <row r="304" spans="1:6" x14ac:dyDescent="0.3">
      <c r="A304">
        <v>1303</v>
      </c>
      <c r="B304" t="s">
        <v>25</v>
      </c>
      <c r="C304">
        <v>161812</v>
      </c>
      <c r="D304">
        <v>49</v>
      </c>
      <c r="E304" t="s">
        <v>10</v>
      </c>
      <c r="F304" t="s">
        <v>14</v>
      </c>
    </row>
    <row r="305" spans="1:6" x14ac:dyDescent="0.3">
      <c r="A305">
        <v>1304</v>
      </c>
      <c r="B305" t="s">
        <v>9</v>
      </c>
      <c r="C305">
        <v>197738</v>
      </c>
      <c r="D305">
        <v>66</v>
      </c>
      <c r="E305" t="s">
        <v>7</v>
      </c>
      <c r="F305" t="s">
        <v>32</v>
      </c>
    </row>
    <row r="306" spans="1:6" x14ac:dyDescent="0.3">
      <c r="A306">
        <v>1305</v>
      </c>
      <c r="B306" t="s">
        <v>24</v>
      </c>
      <c r="C306">
        <v>35201</v>
      </c>
      <c r="D306">
        <v>92</v>
      </c>
      <c r="E306" t="s">
        <v>22</v>
      </c>
      <c r="F306" t="s">
        <v>30</v>
      </c>
    </row>
    <row r="307" spans="1:6" x14ac:dyDescent="0.3">
      <c r="A307">
        <v>1306</v>
      </c>
      <c r="B307" t="s">
        <v>6</v>
      </c>
      <c r="C307">
        <v>179618</v>
      </c>
      <c r="D307">
        <v>34</v>
      </c>
      <c r="E307" t="s">
        <v>13</v>
      </c>
      <c r="F307" t="s">
        <v>29</v>
      </c>
    </row>
    <row r="308" spans="1:6" x14ac:dyDescent="0.3">
      <c r="A308">
        <v>1307</v>
      </c>
      <c r="B308" t="s">
        <v>24</v>
      </c>
      <c r="C308">
        <v>194343</v>
      </c>
      <c r="D308">
        <v>80</v>
      </c>
      <c r="E308" t="s">
        <v>22</v>
      </c>
      <c r="F308" t="s">
        <v>29</v>
      </c>
    </row>
    <row r="309" spans="1:6" x14ac:dyDescent="0.3">
      <c r="A309">
        <v>1308</v>
      </c>
      <c r="B309" t="s">
        <v>25</v>
      </c>
      <c r="C309">
        <v>65760</v>
      </c>
      <c r="D309">
        <v>50</v>
      </c>
      <c r="E309" t="s">
        <v>7</v>
      </c>
      <c r="F309" t="s">
        <v>14</v>
      </c>
    </row>
    <row r="310" spans="1:6" x14ac:dyDescent="0.3">
      <c r="A310">
        <v>1309</v>
      </c>
      <c r="B310" t="s">
        <v>12</v>
      </c>
      <c r="C310">
        <v>96976</v>
      </c>
      <c r="D310">
        <v>67</v>
      </c>
      <c r="E310" t="s">
        <v>13</v>
      </c>
      <c r="F310" t="s">
        <v>14</v>
      </c>
    </row>
    <row r="311" spans="1:6" x14ac:dyDescent="0.3">
      <c r="A311">
        <v>1310</v>
      </c>
      <c r="B311" t="s">
        <v>12</v>
      </c>
      <c r="C311">
        <v>60100</v>
      </c>
      <c r="D311">
        <v>67</v>
      </c>
      <c r="E311" t="s">
        <v>27</v>
      </c>
      <c r="F311" t="s">
        <v>8</v>
      </c>
    </row>
    <row r="312" spans="1:6" x14ac:dyDescent="0.3">
      <c r="A312">
        <v>1311</v>
      </c>
      <c r="B312" t="s">
        <v>9</v>
      </c>
      <c r="C312">
        <v>111556</v>
      </c>
      <c r="D312">
        <v>35</v>
      </c>
      <c r="E312" t="s">
        <v>27</v>
      </c>
      <c r="F312" t="s">
        <v>8</v>
      </c>
    </row>
    <row r="313" spans="1:6" x14ac:dyDescent="0.3">
      <c r="A313">
        <v>1312</v>
      </c>
      <c r="B313" t="s">
        <v>15</v>
      </c>
      <c r="C313">
        <v>159945</v>
      </c>
      <c r="D313">
        <v>76</v>
      </c>
      <c r="E313" t="s">
        <v>34</v>
      </c>
      <c r="F313" t="s">
        <v>11</v>
      </c>
    </row>
    <row r="314" spans="1:6" x14ac:dyDescent="0.3">
      <c r="A314">
        <v>1313</v>
      </c>
      <c r="B314" t="s">
        <v>25</v>
      </c>
      <c r="C314">
        <v>41642</v>
      </c>
      <c r="D314">
        <v>51</v>
      </c>
      <c r="E314" t="s">
        <v>34</v>
      </c>
      <c r="F314" t="s">
        <v>33</v>
      </c>
    </row>
    <row r="315" spans="1:6" x14ac:dyDescent="0.3">
      <c r="A315">
        <v>1314</v>
      </c>
      <c r="B315" t="s">
        <v>9</v>
      </c>
      <c r="C315">
        <v>23339</v>
      </c>
      <c r="D315">
        <v>92</v>
      </c>
      <c r="E315" t="s">
        <v>13</v>
      </c>
      <c r="F315" t="s">
        <v>8</v>
      </c>
    </row>
    <row r="316" spans="1:6" x14ac:dyDescent="0.3">
      <c r="A316">
        <v>1315</v>
      </c>
      <c r="B316" t="s">
        <v>6</v>
      </c>
      <c r="C316">
        <v>194119</v>
      </c>
      <c r="D316">
        <v>6</v>
      </c>
      <c r="E316" t="s">
        <v>27</v>
      </c>
      <c r="F316" t="s">
        <v>11</v>
      </c>
    </row>
    <row r="317" spans="1:6" x14ac:dyDescent="0.3">
      <c r="A317">
        <v>1316</v>
      </c>
      <c r="B317" t="s">
        <v>18</v>
      </c>
      <c r="C317">
        <v>41236</v>
      </c>
      <c r="D317">
        <v>13</v>
      </c>
      <c r="E317" t="s">
        <v>19</v>
      </c>
      <c r="F317" t="s">
        <v>32</v>
      </c>
    </row>
    <row r="318" spans="1:6" x14ac:dyDescent="0.3">
      <c r="A318">
        <v>1317</v>
      </c>
      <c r="B318" t="s">
        <v>25</v>
      </c>
      <c r="C318">
        <v>79843</v>
      </c>
      <c r="D318">
        <v>50</v>
      </c>
      <c r="E318" t="s">
        <v>19</v>
      </c>
      <c r="F318" t="s">
        <v>8</v>
      </c>
    </row>
    <row r="319" spans="1:6" x14ac:dyDescent="0.3">
      <c r="A319">
        <v>1318</v>
      </c>
      <c r="B319" t="s">
        <v>15</v>
      </c>
      <c r="C319">
        <v>165489</v>
      </c>
      <c r="D319">
        <v>24</v>
      </c>
      <c r="E319" t="s">
        <v>34</v>
      </c>
      <c r="F319" t="s">
        <v>33</v>
      </c>
    </row>
    <row r="320" spans="1:6" x14ac:dyDescent="0.3">
      <c r="A320">
        <v>1319</v>
      </c>
      <c r="B320" t="s">
        <v>24</v>
      </c>
      <c r="C320">
        <v>96246</v>
      </c>
      <c r="D320">
        <v>19</v>
      </c>
      <c r="E320" t="s">
        <v>16</v>
      </c>
      <c r="F320" t="s">
        <v>30</v>
      </c>
    </row>
    <row r="321" spans="1:6" x14ac:dyDescent="0.3">
      <c r="A321">
        <v>1320</v>
      </c>
      <c r="B321" t="s">
        <v>21</v>
      </c>
      <c r="C321">
        <v>7179</v>
      </c>
      <c r="D321">
        <v>34</v>
      </c>
      <c r="E321" t="s">
        <v>7</v>
      </c>
      <c r="F321" t="s">
        <v>8</v>
      </c>
    </row>
    <row r="322" spans="1:6" x14ac:dyDescent="0.3">
      <c r="A322">
        <v>1321</v>
      </c>
      <c r="B322" t="s">
        <v>18</v>
      </c>
      <c r="C322">
        <v>145229</v>
      </c>
      <c r="D322">
        <v>77</v>
      </c>
      <c r="E322" t="s">
        <v>13</v>
      </c>
      <c r="F322" t="s">
        <v>30</v>
      </c>
    </row>
    <row r="323" spans="1:6" x14ac:dyDescent="0.3">
      <c r="A323">
        <v>1322</v>
      </c>
      <c r="B323" t="s">
        <v>21</v>
      </c>
      <c r="C323">
        <v>140115</v>
      </c>
      <c r="D323">
        <v>34</v>
      </c>
      <c r="E323" t="s">
        <v>26</v>
      </c>
      <c r="F323" t="s">
        <v>20</v>
      </c>
    </row>
    <row r="324" spans="1:6" x14ac:dyDescent="0.3">
      <c r="A324">
        <v>1323</v>
      </c>
      <c r="B324" t="s">
        <v>21</v>
      </c>
      <c r="C324">
        <v>130639</v>
      </c>
      <c r="D324">
        <v>9</v>
      </c>
      <c r="E324" t="s">
        <v>19</v>
      </c>
      <c r="F324" t="s">
        <v>32</v>
      </c>
    </row>
    <row r="325" spans="1:6" x14ac:dyDescent="0.3">
      <c r="A325">
        <v>1324</v>
      </c>
      <c r="B325" t="s">
        <v>6</v>
      </c>
      <c r="C325">
        <v>51995</v>
      </c>
      <c r="D325">
        <v>28</v>
      </c>
      <c r="E325" t="s">
        <v>27</v>
      </c>
      <c r="F325" t="s">
        <v>11</v>
      </c>
    </row>
    <row r="326" spans="1:6" x14ac:dyDescent="0.3">
      <c r="A326">
        <v>1325</v>
      </c>
      <c r="B326" t="s">
        <v>12</v>
      </c>
      <c r="C326">
        <v>41000</v>
      </c>
      <c r="D326">
        <v>39</v>
      </c>
      <c r="E326" t="s">
        <v>26</v>
      </c>
      <c r="F326" t="s">
        <v>8</v>
      </c>
    </row>
    <row r="327" spans="1:6" x14ac:dyDescent="0.3">
      <c r="A327">
        <v>1326</v>
      </c>
      <c r="B327" t="s">
        <v>18</v>
      </c>
      <c r="C327">
        <v>15700</v>
      </c>
      <c r="D327">
        <v>54</v>
      </c>
      <c r="E327" t="s">
        <v>26</v>
      </c>
      <c r="F327" t="s">
        <v>29</v>
      </c>
    </row>
    <row r="328" spans="1:6" x14ac:dyDescent="0.3">
      <c r="A328">
        <v>1327</v>
      </c>
      <c r="B328" t="s">
        <v>25</v>
      </c>
      <c r="C328">
        <v>105208</v>
      </c>
      <c r="D328">
        <v>60</v>
      </c>
      <c r="E328" t="s">
        <v>22</v>
      </c>
      <c r="F328" t="s">
        <v>11</v>
      </c>
    </row>
    <row r="329" spans="1:6" x14ac:dyDescent="0.3">
      <c r="A329">
        <v>1328</v>
      </c>
      <c r="B329" t="s">
        <v>9</v>
      </c>
      <c r="C329">
        <v>152841</v>
      </c>
      <c r="D329">
        <v>73</v>
      </c>
      <c r="E329" t="s">
        <v>34</v>
      </c>
      <c r="F329" t="s">
        <v>20</v>
      </c>
    </row>
    <row r="330" spans="1:6" x14ac:dyDescent="0.3">
      <c r="A330">
        <v>1329</v>
      </c>
      <c r="B330" t="s">
        <v>31</v>
      </c>
      <c r="C330">
        <v>32083</v>
      </c>
      <c r="D330">
        <v>70</v>
      </c>
      <c r="E330" t="s">
        <v>34</v>
      </c>
      <c r="F330" t="s">
        <v>14</v>
      </c>
    </row>
    <row r="331" spans="1:6" x14ac:dyDescent="0.3">
      <c r="A331">
        <v>1330</v>
      </c>
      <c r="B331" t="s">
        <v>24</v>
      </c>
      <c r="C331">
        <v>117776</v>
      </c>
      <c r="D331">
        <v>36</v>
      </c>
      <c r="E331" t="s">
        <v>22</v>
      </c>
      <c r="F331" t="s">
        <v>29</v>
      </c>
    </row>
    <row r="332" spans="1:6" x14ac:dyDescent="0.3">
      <c r="A332">
        <v>1331</v>
      </c>
      <c r="B332" t="s">
        <v>12</v>
      </c>
      <c r="C332">
        <v>195046</v>
      </c>
      <c r="D332">
        <v>36</v>
      </c>
      <c r="E332" t="s">
        <v>26</v>
      </c>
      <c r="F332" t="s">
        <v>8</v>
      </c>
    </row>
    <row r="333" spans="1:6" x14ac:dyDescent="0.3">
      <c r="A333">
        <v>1332</v>
      </c>
      <c r="B333" t="s">
        <v>24</v>
      </c>
      <c r="C333">
        <v>149137</v>
      </c>
      <c r="D333">
        <v>55</v>
      </c>
      <c r="E333" t="s">
        <v>10</v>
      </c>
      <c r="F333" t="s">
        <v>32</v>
      </c>
    </row>
    <row r="334" spans="1:6" x14ac:dyDescent="0.3">
      <c r="A334">
        <v>1333</v>
      </c>
      <c r="B334" t="s">
        <v>28</v>
      </c>
      <c r="C334">
        <v>167377</v>
      </c>
      <c r="D334">
        <v>75</v>
      </c>
      <c r="E334" t="s">
        <v>34</v>
      </c>
      <c r="F334" t="s">
        <v>33</v>
      </c>
    </row>
    <row r="335" spans="1:6" x14ac:dyDescent="0.3">
      <c r="A335">
        <v>1334</v>
      </c>
      <c r="B335" t="s">
        <v>9</v>
      </c>
      <c r="C335">
        <v>90132</v>
      </c>
      <c r="D335">
        <v>48</v>
      </c>
      <c r="E335" t="s">
        <v>19</v>
      </c>
      <c r="F335" t="s">
        <v>29</v>
      </c>
    </row>
    <row r="336" spans="1:6" x14ac:dyDescent="0.3">
      <c r="A336">
        <v>1335</v>
      </c>
      <c r="B336" t="s">
        <v>31</v>
      </c>
      <c r="C336">
        <v>7937</v>
      </c>
      <c r="D336">
        <v>67</v>
      </c>
      <c r="E336" t="s">
        <v>27</v>
      </c>
      <c r="F336" t="s">
        <v>29</v>
      </c>
    </row>
    <row r="337" spans="1:6" x14ac:dyDescent="0.3">
      <c r="A337">
        <v>1336</v>
      </c>
      <c r="B337" t="s">
        <v>21</v>
      </c>
      <c r="C337">
        <v>154069</v>
      </c>
      <c r="D337">
        <v>22</v>
      </c>
      <c r="E337" t="s">
        <v>22</v>
      </c>
      <c r="F337" t="s">
        <v>20</v>
      </c>
    </row>
    <row r="338" spans="1:6" x14ac:dyDescent="0.3">
      <c r="A338">
        <v>1337</v>
      </c>
      <c r="B338" t="s">
        <v>21</v>
      </c>
      <c r="C338">
        <v>183954</v>
      </c>
      <c r="D338">
        <v>18</v>
      </c>
      <c r="E338" t="s">
        <v>27</v>
      </c>
      <c r="F338" t="s">
        <v>14</v>
      </c>
    </row>
    <row r="339" spans="1:6" x14ac:dyDescent="0.3">
      <c r="A339">
        <v>1338</v>
      </c>
      <c r="B339" t="s">
        <v>21</v>
      </c>
      <c r="C339">
        <v>121824</v>
      </c>
      <c r="D339">
        <v>75</v>
      </c>
      <c r="E339" t="s">
        <v>10</v>
      </c>
      <c r="F339" t="s">
        <v>23</v>
      </c>
    </row>
    <row r="340" spans="1:6" x14ac:dyDescent="0.3">
      <c r="A340">
        <v>1339</v>
      </c>
      <c r="B340" t="s">
        <v>21</v>
      </c>
      <c r="C340">
        <v>122506</v>
      </c>
      <c r="D340">
        <v>60</v>
      </c>
      <c r="E340" t="s">
        <v>27</v>
      </c>
      <c r="F340" t="s">
        <v>17</v>
      </c>
    </row>
    <row r="341" spans="1:6" x14ac:dyDescent="0.3">
      <c r="A341">
        <v>1340</v>
      </c>
      <c r="B341" t="s">
        <v>15</v>
      </c>
      <c r="C341">
        <v>59576</v>
      </c>
      <c r="D341">
        <v>61</v>
      </c>
      <c r="E341" t="s">
        <v>13</v>
      </c>
      <c r="F341" t="s">
        <v>11</v>
      </c>
    </row>
    <row r="342" spans="1:6" x14ac:dyDescent="0.3">
      <c r="A342">
        <v>1341</v>
      </c>
      <c r="B342" t="s">
        <v>6</v>
      </c>
      <c r="C342">
        <v>33193</v>
      </c>
      <c r="D342">
        <v>9</v>
      </c>
      <c r="E342" t="s">
        <v>34</v>
      </c>
      <c r="F342" t="s">
        <v>30</v>
      </c>
    </row>
    <row r="343" spans="1:6" x14ac:dyDescent="0.3">
      <c r="A343">
        <v>1342</v>
      </c>
      <c r="B343" t="s">
        <v>15</v>
      </c>
      <c r="C343">
        <v>81717</v>
      </c>
      <c r="D343">
        <v>8</v>
      </c>
      <c r="E343" t="s">
        <v>10</v>
      </c>
      <c r="F343" t="s">
        <v>32</v>
      </c>
    </row>
    <row r="344" spans="1:6" x14ac:dyDescent="0.3">
      <c r="A344">
        <v>1343</v>
      </c>
      <c r="B344" t="s">
        <v>24</v>
      </c>
      <c r="C344">
        <v>64625</v>
      </c>
      <c r="D344">
        <v>79</v>
      </c>
      <c r="E344" t="s">
        <v>26</v>
      </c>
      <c r="F344" t="s">
        <v>17</v>
      </c>
    </row>
    <row r="345" spans="1:6" x14ac:dyDescent="0.3">
      <c r="A345">
        <v>1344</v>
      </c>
      <c r="B345" t="s">
        <v>31</v>
      </c>
      <c r="C345">
        <v>32269</v>
      </c>
      <c r="D345">
        <v>67</v>
      </c>
      <c r="E345" t="s">
        <v>16</v>
      </c>
      <c r="F345" t="s">
        <v>30</v>
      </c>
    </row>
    <row r="346" spans="1:6" x14ac:dyDescent="0.3">
      <c r="A346">
        <v>1345</v>
      </c>
      <c r="B346" t="s">
        <v>6</v>
      </c>
      <c r="C346">
        <v>32463</v>
      </c>
      <c r="D346">
        <v>58</v>
      </c>
      <c r="E346" t="s">
        <v>34</v>
      </c>
      <c r="F346" t="s">
        <v>23</v>
      </c>
    </row>
    <row r="347" spans="1:6" x14ac:dyDescent="0.3">
      <c r="A347">
        <v>1346</v>
      </c>
      <c r="B347" t="s">
        <v>15</v>
      </c>
      <c r="C347">
        <v>150378</v>
      </c>
      <c r="D347">
        <v>42</v>
      </c>
      <c r="E347" t="s">
        <v>26</v>
      </c>
      <c r="F347" t="s">
        <v>29</v>
      </c>
    </row>
    <row r="348" spans="1:6" x14ac:dyDescent="0.3">
      <c r="A348">
        <v>1347</v>
      </c>
      <c r="B348" t="s">
        <v>24</v>
      </c>
      <c r="C348">
        <v>156984</v>
      </c>
      <c r="D348">
        <v>91</v>
      </c>
      <c r="E348" t="s">
        <v>7</v>
      </c>
      <c r="F348" t="s">
        <v>11</v>
      </c>
    </row>
    <row r="349" spans="1:6" x14ac:dyDescent="0.3">
      <c r="A349">
        <v>1348</v>
      </c>
      <c r="B349" t="s">
        <v>31</v>
      </c>
      <c r="C349">
        <v>153671</v>
      </c>
      <c r="D349">
        <v>25</v>
      </c>
      <c r="E349" t="s">
        <v>27</v>
      </c>
      <c r="F349" t="s">
        <v>33</v>
      </c>
    </row>
    <row r="350" spans="1:6" x14ac:dyDescent="0.3">
      <c r="A350">
        <v>1349</v>
      </c>
      <c r="B350" t="s">
        <v>25</v>
      </c>
      <c r="C350">
        <v>138785</v>
      </c>
      <c r="D350">
        <v>17</v>
      </c>
      <c r="E350" t="s">
        <v>10</v>
      </c>
      <c r="F350" t="s">
        <v>33</v>
      </c>
    </row>
    <row r="351" spans="1:6" x14ac:dyDescent="0.3">
      <c r="A351">
        <v>1350</v>
      </c>
      <c r="B351" t="s">
        <v>12</v>
      </c>
      <c r="C351">
        <v>134623</v>
      </c>
      <c r="D351">
        <v>17</v>
      </c>
      <c r="E351" t="s">
        <v>22</v>
      </c>
      <c r="F351" t="s">
        <v>20</v>
      </c>
    </row>
    <row r="352" spans="1:6" x14ac:dyDescent="0.3">
      <c r="A352">
        <v>1351</v>
      </c>
      <c r="B352" t="s">
        <v>18</v>
      </c>
      <c r="C352">
        <v>166635</v>
      </c>
      <c r="D352">
        <v>71</v>
      </c>
      <c r="E352" t="s">
        <v>19</v>
      </c>
      <c r="F352" t="s">
        <v>29</v>
      </c>
    </row>
    <row r="353" spans="1:6" x14ac:dyDescent="0.3">
      <c r="A353">
        <v>1352</v>
      </c>
      <c r="B353" t="s">
        <v>25</v>
      </c>
      <c r="C353">
        <v>30829</v>
      </c>
      <c r="D353">
        <v>50</v>
      </c>
      <c r="E353" t="s">
        <v>26</v>
      </c>
      <c r="F353" t="s">
        <v>8</v>
      </c>
    </row>
    <row r="354" spans="1:6" x14ac:dyDescent="0.3">
      <c r="A354">
        <v>1353</v>
      </c>
      <c r="B354" t="s">
        <v>9</v>
      </c>
      <c r="C354">
        <v>130431</v>
      </c>
      <c r="D354">
        <v>84</v>
      </c>
      <c r="E354" t="s">
        <v>26</v>
      </c>
      <c r="F354" t="s">
        <v>14</v>
      </c>
    </row>
    <row r="355" spans="1:6" x14ac:dyDescent="0.3">
      <c r="A355">
        <v>1354</v>
      </c>
      <c r="B355" t="s">
        <v>18</v>
      </c>
      <c r="C355">
        <v>192619</v>
      </c>
      <c r="D355">
        <v>23</v>
      </c>
      <c r="E355" t="s">
        <v>34</v>
      </c>
      <c r="F355" t="s">
        <v>32</v>
      </c>
    </row>
    <row r="356" spans="1:6" x14ac:dyDescent="0.3">
      <c r="A356">
        <v>1355</v>
      </c>
      <c r="B356" t="s">
        <v>9</v>
      </c>
      <c r="C356">
        <v>15534</v>
      </c>
      <c r="D356">
        <v>46</v>
      </c>
      <c r="E356" t="s">
        <v>13</v>
      </c>
      <c r="F356" t="s">
        <v>33</v>
      </c>
    </row>
    <row r="357" spans="1:6" x14ac:dyDescent="0.3">
      <c r="A357">
        <v>1356</v>
      </c>
      <c r="B357" t="s">
        <v>12</v>
      </c>
      <c r="C357">
        <v>100006</v>
      </c>
      <c r="D357">
        <v>12</v>
      </c>
      <c r="E357" t="s">
        <v>19</v>
      </c>
      <c r="F357" t="s">
        <v>17</v>
      </c>
    </row>
    <row r="358" spans="1:6" x14ac:dyDescent="0.3">
      <c r="A358">
        <v>1357</v>
      </c>
      <c r="B358" t="s">
        <v>31</v>
      </c>
      <c r="C358">
        <v>194837</v>
      </c>
      <c r="D358">
        <v>44</v>
      </c>
      <c r="E358" t="s">
        <v>16</v>
      </c>
      <c r="F358" t="s">
        <v>11</v>
      </c>
    </row>
    <row r="359" spans="1:6" x14ac:dyDescent="0.3">
      <c r="A359">
        <v>1358</v>
      </c>
      <c r="B359" t="s">
        <v>9</v>
      </c>
      <c r="C359">
        <v>108842</v>
      </c>
      <c r="D359">
        <v>64</v>
      </c>
      <c r="E359" t="s">
        <v>13</v>
      </c>
      <c r="F359" t="s">
        <v>20</v>
      </c>
    </row>
    <row r="360" spans="1:6" x14ac:dyDescent="0.3">
      <c r="A360">
        <v>1359</v>
      </c>
      <c r="B360" t="s">
        <v>21</v>
      </c>
      <c r="C360">
        <v>153278</v>
      </c>
      <c r="D360">
        <v>72</v>
      </c>
      <c r="E360" t="s">
        <v>22</v>
      </c>
      <c r="F360" t="s">
        <v>17</v>
      </c>
    </row>
    <row r="361" spans="1:6" x14ac:dyDescent="0.3">
      <c r="A361">
        <v>1360</v>
      </c>
      <c r="B361" t="s">
        <v>24</v>
      </c>
      <c r="C361">
        <v>95459</v>
      </c>
      <c r="D361">
        <v>58</v>
      </c>
      <c r="E361" t="s">
        <v>26</v>
      </c>
      <c r="F361" t="s">
        <v>23</v>
      </c>
    </row>
    <row r="362" spans="1:6" x14ac:dyDescent="0.3">
      <c r="A362">
        <v>1361</v>
      </c>
      <c r="B362" t="s">
        <v>6</v>
      </c>
      <c r="C362">
        <v>112948</v>
      </c>
      <c r="D362">
        <v>36</v>
      </c>
      <c r="E362" t="s">
        <v>16</v>
      </c>
      <c r="F362" t="s">
        <v>30</v>
      </c>
    </row>
    <row r="363" spans="1:6" x14ac:dyDescent="0.3">
      <c r="A363">
        <v>1362</v>
      </c>
      <c r="B363" t="s">
        <v>12</v>
      </c>
      <c r="C363">
        <v>75401</v>
      </c>
      <c r="D363">
        <v>71</v>
      </c>
      <c r="E363" t="s">
        <v>7</v>
      </c>
      <c r="F363" t="s">
        <v>33</v>
      </c>
    </row>
    <row r="364" spans="1:6" x14ac:dyDescent="0.3">
      <c r="A364">
        <v>1363</v>
      </c>
      <c r="B364" t="s">
        <v>18</v>
      </c>
      <c r="C364">
        <v>145711</v>
      </c>
      <c r="D364">
        <v>22</v>
      </c>
      <c r="E364" t="s">
        <v>13</v>
      </c>
      <c r="F364" t="s">
        <v>30</v>
      </c>
    </row>
    <row r="365" spans="1:6" x14ac:dyDescent="0.3">
      <c r="A365">
        <v>1364</v>
      </c>
      <c r="B365" t="s">
        <v>21</v>
      </c>
      <c r="C365">
        <v>48075</v>
      </c>
      <c r="D365">
        <v>11</v>
      </c>
      <c r="E365" t="s">
        <v>7</v>
      </c>
      <c r="F365" t="s">
        <v>14</v>
      </c>
    </row>
    <row r="366" spans="1:6" x14ac:dyDescent="0.3">
      <c r="A366">
        <v>1365</v>
      </c>
      <c r="B366" t="s">
        <v>6</v>
      </c>
      <c r="C366">
        <v>86695</v>
      </c>
      <c r="D366">
        <v>50</v>
      </c>
      <c r="E366" t="s">
        <v>22</v>
      </c>
      <c r="F366" t="s">
        <v>11</v>
      </c>
    </row>
    <row r="367" spans="1:6" x14ac:dyDescent="0.3">
      <c r="A367">
        <v>1366</v>
      </c>
      <c r="B367" t="s">
        <v>9</v>
      </c>
      <c r="C367">
        <v>128079</v>
      </c>
      <c r="D367">
        <v>43</v>
      </c>
      <c r="E367" t="s">
        <v>7</v>
      </c>
      <c r="F367" t="s">
        <v>23</v>
      </c>
    </row>
    <row r="368" spans="1:6" x14ac:dyDescent="0.3">
      <c r="A368">
        <v>1367</v>
      </c>
      <c r="B368" t="s">
        <v>25</v>
      </c>
      <c r="C368">
        <v>173797</v>
      </c>
      <c r="D368">
        <v>96</v>
      </c>
      <c r="E368" t="s">
        <v>22</v>
      </c>
      <c r="F368" t="s">
        <v>30</v>
      </c>
    </row>
    <row r="369" spans="1:6" x14ac:dyDescent="0.3">
      <c r="A369">
        <v>1368</v>
      </c>
      <c r="B369" t="s">
        <v>18</v>
      </c>
      <c r="C369">
        <v>31924</v>
      </c>
      <c r="D369">
        <v>38</v>
      </c>
      <c r="E369" t="s">
        <v>34</v>
      </c>
      <c r="F369" t="s">
        <v>11</v>
      </c>
    </row>
    <row r="370" spans="1:6" x14ac:dyDescent="0.3">
      <c r="A370">
        <v>1369</v>
      </c>
      <c r="B370" t="s">
        <v>31</v>
      </c>
      <c r="C370">
        <v>46564</v>
      </c>
      <c r="D370">
        <v>56</v>
      </c>
      <c r="E370" t="s">
        <v>10</v>
      </c>
      <c r="F370" t="s">
        <v>30</v>
      </c>
    </row>
    <row r="371" spans="1:6" x14ac:dyDescent="0.3">
      <c r="A371">
        <v>1370</v>
      </c>
      <c r="B371" t="s">
        <v>24</v>
      </c>
      <c r="C371">
        <v>164081</v>
      </c>
      <c r="D371">
        <v>79</v>
      </c>
      <c r="E371" t="s">
        <v>27</v>
      </c>
      <c r="F371" t="s">
        <v>32</v>
      </c>
    </row>
    <row r="372" spans="1:6" x14ac:dyDescent="0.3">
      <c r="A372">
        <v>1371</v>
      </c>
      <c r="B372" t="s">
        <v>24</v>
      </c>
      <c r="C372">
        <v>153348</v>
      </c>
      <c r="D372">
        <v>60</v>
      </c>
      <c r="E372" t="s">
        <v>27</v>
      </c>
      <c r="F372" t="s">
        <v>30</v>
      </c>
    </row>
    <row r="373" spans="1:6" x14ac:dyDescent="0.3">
      <c r="A373">
        <v>1372</v>
      </c>
      <c r="B373" t="s">
        <v>21</v>
      </c>
      <c r="C373">
        <v>138155</v>
      </c>
      <c r="D373">
        <v>5</v>
      </c>
      <c r="E373" t="s">
        <v>27</v>
      </c>
      <c r="F373" t="s">
        <v>23</v>
      </c>
    </row>
    <row r="374" spans="1:6" x14ac:dyDescent="0.3">
      <c r="A374">
        <v>1373</v>
      </c>
      <c r="B374" t="s">
        <v>21</v>
      </c>
      <c r="C374">
        <v>183161</v>
      </c>
      <c r="D374">
        <v>42</v>
      </c>
      <c r="E374" t="s">
        <v>16</v>
      </c>
      <c r="F374" t="s">
        <v>32</v>
      </c>
    </row>
    <row r="375" spans="1:6" x14ac:dyDescent="0.3">
      <c r="A375">
        <v>1374</v>
      </c>
      <c r="B375" t="s">
        <v>31</v>
      </c>
      <c r="C375">
        <v>177626</v>
      </c>
      <c r="D375">
        <v>37</v>
      </c>
      <c r="E375" t="s">
        <v>27</v>
      </c>
      <c r="F375" t="s">
        <v>20</v>
      </c>
    </row>
    <row r="376" spans="1:6" x14ac:dyDescent="0.3">
      <c r="A376">
        <v>1375</v>
      </c>
      <c r="B376" t="s">
        <v>24</v>
      </c>
      <c r="C376">
        <v>185819</v>
      </c>
      <c r="D376">
        <v>10</v>
      </c>
      <c r="E376" t="s">
        <v>7</v>
      </c>
      <c r="F376" t="s">
        <v>23</v>
      </c>
    </row>
    <row r="377" spans="1:6" x14ac:dyDescent="0.3">
      <c r="A377">
        <v>1376</v>
      </c>
      <c r="B377" t="s">
        <v>18</v>
      </c>
      <c r="C377">
        <v>162495</v>
      </c>
      <c r="D377">
        <v>5</v>
      </c>
      <c r="E377" t="s">
        <v>27</v>
      </c>
      <c r="F377" t="s">
        <v>14</v>
      </c>
    </row>
    <row r="378" spans="1:6" x14ac:dyDescent="0.3">
      <c r="A378">
        <v>1377</v>
      </c>
      <c r="B378" t="s">
        <v>25</v>
      </c>
      <c r="C378">
        <v>163125</v>
      </c>
      <c r="D378">
        <v>55</v>
      </c>
      <c r="E378" t="s">
        <v>34</v>
      </c>
      <c r="F378" t="s">
        <v>8</v>
      </c>
    </row>
    <row r="379" spans="1:6" x14ac:dyDescent="0.3">
      <c r="A379">
        <v>1378</v>
      </c>
      <c r="B379" t="s">
        <v>9</v>
      </c>
      <c r="C379">
        <v>130968</v>
      </c>
      <c r="D379">
        <v>79</v>
      </c>
      <c r="E379" t="s">
        <v>7</v>
      </c>
      <c r="F379" t="s">
        <v>23</v>
      </c>
    </row>
    <row r="380" spans="1:6" x14ac:dyDescent="0.3">
      <c r="A380">
        <v>1379</v>
      </c>
      <c r="B380" t="s">
        <v>9</v>
      </c>
      <c r="C380">
        <v>22932</v>
      </c>
      <c r="D380">
        <v>56</v>
      </c>
      <c r="E380" t="s">
        <v>26</v>
      </c>
      <c r="F380" t="s">
        <v>30</v>
      </c>
    </row>
    <row r="381" spans="1:6" x14ac:dyDescent="0.3">
      <c r="A381">
        <v>1380</v>
      </c>
      <c r="B381" t="s">
        <v>24</v>
      </c>
      <c r="C381">
        <v>73564</v>
      </c>
      <c r="D381">
        <v>27</v>
      </c>
      <c r="E381" t="s">
        <v>27</v>
      </c>
      <c r="F381" t="s">
        <v>30</v>
      </c>
    </row>
    <row r="382" spans="1:6" x14ac:dyDescent="0.3">
      <c r="A382">
        <v>1381</v>
      </c>
      <c r="B382" t="s">
        <v>12</v>
      </c>
      <c r="C382">
        <v>192540</v>
      </c>
      <c r="D382">
        <v>87</v>
      </c>
      <c r="E382" t="s">
        <v>27</v>
      </c>
      <c r="F382" t="s">
        <v>32</v>
      </c>
    </row>
    <row r="383" spans="1:6" x14ac:dyDescent="0.3">
      <c r="A383">
        <v>1382</v>
      </c>
      <c r="B383" t="s">
        <v>6</v>
      </c>
      <c r="C383">
        <v>23665</v>
      </c>
      <c r="D383">
        <v>60</v>
      </c>
      <c r="E383" t="s">
        <v>26</v>
      </c>
      <c r="F383" t="s">
        <v>29</v>
      </c>
    </row>
    <row r="384" spans="1:6" x14ac:dyDescent="0.3">
      <c r="A384">
        <v>1383</v>
      </c>
      <c r="B384" t="s">
        <v>24</v>
      </c>
      <c r="C384">
        <v>107027</v>
      </c>
      <c r="D384">
        <v>17</v>
      </c>
      <c r="E384" t="s">
        <v>34</v>
      </c>
      <c r="F384" t="s">
        <v>32</v>
      </c>
    </row>
    <row r="385" spans="1:6" x14ac:dyDescent="0.3">
      <c r="A385">
        <v>1384</v>
      </c>
      <c r="B385" t="s">
        <v>18</v>
      </c>
      <c r="C385">
        <v>188528</v>
      </c>
      <c r="D385">
        <v>70</v>
      </c>
      <c r="E385" t="s">
        <v>22</v>
      </c>
      <c r="F385" t="s">
        <v>14</v>
      </c>
    </row>
    <row r="386" spans="1:6" x14ac:dyDescent="0.3">
      <c r="A386">
        <v>1385</v>
      </c>
      <c r="B386" t="s">
        <v>18</v>
      </c>
      <c r="C386">
        <v>22682</v>
      </c>
      <c r="D386">
        <v>51</v>
      </c>
      <c r="E386" t="s">
        <v>19</v>
      </c>
      <c r="F386" t="s">
        <v>17</v>
      </c>
    </row>
    <row r="387" spans="1:6" x14ac:dyDescent="0.3">
      <c r="A387">
        <v>1386</v>
      </c>
      <c r="B387" t="s">
        <v>18</v>
      </c>
      <c r="C387">
        <v>29605</v>
      </c>
      <c r="D387">
        <v>52</v>
      </c>
      <c r="E387" t="s">
        <v>13</v>
      </c>
      <c r="F387" t="s">
        <v>33</v>
      </c>
    </row>
    <row r="388" spans="1:6" x14ac:dyDescent="0.3">
      <c r="A388">
        <v>1387</v>
      </c>
      <c r="B388" t="s">
        <v>31</v>
      </c>
      <c r="C388">
        <v>133925</v>
      </c>
      <c r="D388">
        <v>16</v>
      </c>
      <c r="E388" t="s">
        <v>26</v>
      </c>
      <c r="F388" t="s">
        <v>17</v>
      </c>
    </row>
    <row r="389" spans="1:6" x14ac:dyDescent="0.3">
      <c r="A389">
        <v>1388</v>
      </c>
      <c r="B389" t="s">
        <v>6</v>
      </c>
      <c r="C389">
        <v>124845</v>
      </c>
      <c r="D389">
        <v>40</v>
      </c>
      <c r="E389" t="s">
        <v>16</v>
      </c>
      <c r="F389" t="s">
        <v>20</v>
      </c>
    </row>
    <row r="390" spans="1:6" x14ac:dyDescent="0.3">
      <c r="A390">
        <v>1389</v>
      </c>
      <c r="B390" t="s">
        <v>15</v>
      </c>
      <c r="C390">
        <v>137212</v>
      </c>
      <c r="D390">
        <v>65</v>
      </c>
      <c r="E390" t="s">
        <v>7</v>
      </c>
      <c r="F390" t="s">
        <v>30</v>
      </c>
    </row>
    <row r="391" spans="1:6" x14ac:dyDescent="0.3">
      <c r="A391">
        <v>1390</v>
      </c>
      <c r="B391" t="s">
        <v>28</v>
      </c>
      <c r="C391">
        <v>10378</v>
      </c>
      <c r="D391">
        <v>88</v>
      </c>
      <c r="E391" t="s">
        <v>27</v>
      </c>
      <c r="F391" t="s">
        <v>32</v>
      </c>
    </row>
    <row r="392" spans="1:6" x14ac:dyDescent="0.3">
      <c r="A392">
        <v>1391</v>
      </c>
      <c r="B392" t="s">
        <v>28</v>
      </c>
      <c r="C392">
        <v>43472</v>
      </c>
      <c r="D392">
        <v>88</v>
      </c>
      <c r="E392" t="s">
        <v>26</v>
      </c>
      <c r="F392" t="s">
        <v>20</v>
      </c>
    </row>
    <row r="393" spans="1:6" x14ac:dyDescent="0.3">
      <c r="A393">
        <v>1392</v>
      </c>
      <c r="B393" t="s">
        <v>6</v>
      </c>
      <c r="C393">
        <v>64730</v>
      </c>
      <c r="D393">
        <v>11</v>
      </c>
      <c r="E393" t="s">
        <v>34</v>
      </c>
      <c r="F393" t="s">
        <v>11</v>
      </c>
    </row>
    <row r="394" spans="1:6" x14ac:dyDescent="0.3">
      <c r="A394">
        <v>1393</v>
      </c>
      <c r="B394" t="s">
        <v>31</v>
      </c>
      <c r="C394">
        <v>19709</v>
      </c>
      <c r="D394">
        <v>11</v>
      </c>
      <c r="E394" t="s">
        <v>27</v>
      </c>
      <c r="F394" t="s">
        <v>17</v>
      </c>
    </row>
    <row r="395" spans="1:6" x14ac:dyDescent="0.3">
      <c r="A395">
        <v>1394</v>
      </c>
      <c r="B395" t="s">
        <v>28</v>
      </c>
      <c r="C395">
        <v>81633</v>
      </c>
      <c r="D395">
        <v>22</v>
      </c>
      <c r="E395" t="s">
        <v>13</v>
      </c>
      <c r="F395" t="s">
        <v>8</v>
      </c>
    </row>
    <row r="396" spans="1:6" x14ac:dyDescent="0.3">
      <c r="A396">
        <v>1395</v>
      </c>
      <c r="B396" t="s">
        <v>28</v>
      </c>
      <c r="C396">
        <v>23312</v>
      </c>
      <c r="D396">
        <v>8</v>
      </c>
      <c r="E396" t="s">
        <v>19</v>
      </c>
      <c r="F396" t="s">
        <v>33</v>
      </c>
    </row>
    <row r="397" spans="1:6" x14ac:dyDescent="0.3">
      <c r="A397">
        <v>1396</v>
      </c>
      <c r="B397" t="s">
        <v>24</v>
      </c>
      <c r="C397">
        <v>188989</v>
      </c>
      <c r="D397">
        <v>35</v>
      </c>
      <c r="E397" t="s">
        <v>10</v>
      </c>
      <c r="F397" t="s">
        <v>23</v>
      </c>
    </row>
    <row r="398" spans="1:6" x14ac:dyDescent="0.3">
      <c r="A398">
        <v>1397</v>
      </c>
      <c r="B398" t="s">
        <v>31</v>
      </c>
      <c r="C398">
        <v>123778</v>
      </c>
      <c r="D398">
        <v>16</v>
      </c>
      <c r="E398" t="s">
        <v>27</v>
      </c>
      <c r="F398" t="s">
        <v>17</v>
      </c>
    </row>
    <row r="399" spans="1:6" x14ac:dyDescent="0.3">
      <c r="A399">
        <v>1398</v>
      </c>
      <c r="B399" t="s">
        <v>25</v>
      </c>
      <c r="C399">
        <v>114528</v>
      </c>
      <c r="D399">
        <v>98</v>
      </c>
      <c r="E399" t="s">
        <v>26</v>
      </c>
      <c r="F399" t="s">
        <v>11</v>
      </c>
    </row>
    <row r="400" spans="1:6" x14ac:dyDescent="0.3">
      <c r="A400">
        <v>1399</v>
      </c>
      <c r="B400" t="s">
        <v>24</v>
      </c>
      <c r="C400">
        <v>94197</v>
      </c>
      <c r="D400">
        <v>40</v>
      </c>
      <c r="E400" t="s">
        <v>13</v>
      </c>
      <c r="F400" t="s">
        <v>30</v>
      </c>
    </row>
    <row r="401" spans="1:6" x14ac:dyDescent="0.3">
      <c r="A401">
        <v>1400</v>
      </c>
      <c r="B401" t="s">
        <v>28</v>
      </c>
      <c r="C401">
        <v>72789</v>
      </c>
      <c r="D401">
        <v>47</v>
      </c>
      <c r="E401" t="s">
        <v>34</v>
      </c>
      <c r="F401" t="s">
        <v>23</v>
      </c>
    </row>
    <row r="402" spans="1:6" x14ac:dyDescent="0.3">
      <c r="A402">
        <v>1401</v>
      </c>
      <c r="B402" t="s">
        <v>15</v>
      </c>
      <c r="C402">
        <v>22026</v>
      </c>
      <c r="D402">
        <v>53</v>
      </c>
      <c r="E402" t="s">
        <v>7</v>
      </c>
      <c r="F402" t="s">
        <v>30</v>
      </c>
    </row>
    <row r="403" spans="1:6" x14ac:dyDescent="0.3">
      <c r="A403">
        <v>1402</v>
      </c>
      <c r="B403" t="s">
        <v>21</v>
      </c>
      <c r="C403">
        <v>42153</v>
      </c>
      <c r="D403">
        <v>41</v>
      </c>
      <c r="E403" t="s">
        <v>16</v>
      </c>
      <c r="F403" t="s">
        <v>29</v>
      </c>
    </row>
    <row r="404" spans="1:6" x14ac:dyDescent="0.3">
      <c r="A404">
        <v>1403</v>
      </c>
      <c r="B404" t="s">
        <v>24</v>
      </c>
      <c r="C404">
        <v>121731</v>
      </c>
      <c r="D404">
        <v>39</v>
      </c>
      <c r="E404" t="s">
        <v>27</v>
      </c>
      <c r="F404" t="s">
        <v>23</v>
      </c>
    </row>
    <row r="405" spans="1:6" x14ac:dyDescent="0.3">
      <c r="A405">
        <v>1404</v>
      </c>
      <c r="B405" t="s">
        <v>6</v>
      </c>
      <c r="C405">
        <v>150973</v>
      </c>
      <c r="D405">
        <v>75</v>
      </c>
      <c r="E405" t="s">
        <v>19</v>
      </c>
      <c r="F405" t="s">
        <v>14</v>
      </c>
    </row>
    <row r="406" spans="1:6" x14ac:dyDescent="0.3">
      <c r="A406">
        <v>1405</v>
      </c>
      <c r="B406" t="s">
        <v>6</v>
      </c>
      <c r="C406">
        <v>76071</v>
      </c>
      <c r="D406">
        <v>79</v>
      </c>
      <c r="E406" t="s">
        <v>27</v>
      </c>
      <c r="F406" t="s">
        <v>17</v>
      </c>
    </row>
    <row r="407" spans="1:6" x14ac:dyDescent="0.3">
      <c r="A407">
        <v>1406</v>
      </c>
      <c r="B407" t="s">
        <v>6</v>
      </c>
      <c r="C407">
        <v>156463</v>
      </c>
      <c r="D407">
        <v>27</v>
      </c>
      <c r="E407" t="s">
        <v>27</v>
      </c>
      <c r="F407" t="s">
        <v>23</v>
      </c>
    </row>
    <row r="408" spans="1:6" x14ac:dyDescent="0.3">
      <c r="A408">
        <v>1407</v>
      </c>
      <c r="B408" t="s">
        <v>25</v>
      </c>
      <c r="C408">
        <v>103154</v>
      </c>
      <c r="D408">
        <v>26</v>
      </c>
      <c r="E408" t="s">
        <v>34</v>
      </c>
      <c r="F408" t="s">
        <v>23</v>
      </c>
    </row>
    <row r="409" spans="1:6" x14ac:dyDescent="0.3">
      <c r="A409">
        <v>1408</v>
      </c>
      <c r="B409" t="s">
        <v>12</v>
      </c>
      <c r="C409">
        <v>154933</v>
      </c>
      <c r="D409">
        <v>92</v>
      </c>
      <c r="E409" t="s">
        <v>34</v>
      </c>
      <c r="F409" t="s">
        <v>20</v>
      </c>
    </row>
    <row r="410" spans="1:6" x14ac:dyDescent="0.3">
      <c r="A410">
        <v>1409</v>
      </c>
      <c r="B410" t="s">
        <v>15</v>
      </c>
      <c r="C410">
        <v>123694</v>
      </c>
      <c r="D410">
        <v>30</v>
      </c>
      <c r="E410" t="s">
        <v>19</v>
      </c>
      <c r="F410" t="s">
        <v>11</v>
      </c>
    </row>
    <row r="411" spans="1:6" x14ac:dyDescent="0.3">
      <c r="A411">
        <v>1410</v>
      </c>
      <c r="B411" t="s">
        <v>18</v>
      </c>
      <c r="C411">
        <v>128851</v>
      </c>
      <c r="D411">
        <v>41</v>
      </c>
      <c r="E411" t="s">
        <v>22</v>
      </c>
      <c r="F411" t="s">
        <v>30</v>
      </c>
    </row>
    <row r="412" spans="1:6" x14ac:dyDescent="0.3">
      <c r="A412">
        <v>1411</v>
      </c>
      <c r="B412" t="s">
        <v>15</v>
      </c>
      <c r="C412">
        <v>62311</v>
      </c>
      <c r="D412">
        <v>43</v>
      </c>
      <c r="E412" t="s">
        <v>16</v>
      </c>
      <c r="F412" t="s">
        <v>23</v>
      </c>
    </row>
    <row r="413" spans="1:6" x14ac:dyDescent="0.3">
      <c r="A413">
        <v>1412</v>
      </c>
      <c r="B413" t="s">
        <v>6</v>
      </c>
      <c r="C413">
        <v>155498</v>
      </c>
      <c r="D413">
        <v>13</v>
      </c>
      <c r="E413" t="s">
        <v>27</v>
      </c>
      <c r="F413" t="s">
        <v>14</v>
      </c>
    </row>
    <row r="414" spans="1:6" x14ac:dyDescent="0.3">
      <c r="A414">
        <v>1413</v>
      </c>
      <c r="B414" t="s">
        <v>24</v>
      </c>
      <c r="C414">
        <v>29187</v>
      </c>
      <c r="D414">
        <v>78</v>
      </c>
      <c r="E414" t="s">
        <v>13</v>
      </c>
      <c r="F414" t="s">
        <v>30</v>
      </c>
    </row>
    <row r="415" spans="1:6" x14ac:dyDescent="0.3">
      <c r="A415">
        <v>1414</v>
      </c>
      <c r="B415" t="s">
        <v>24</v>
      </c>
      <c r="C415">
        <v>99404</v>
      </c>
      <c r="D415">
        <v>30</v>
      </c>
      <c r="E415" t="s">
        <v>22</v>
      </c>
      <c r="F415" t="s">
        <v>14</v>
      </c>
    </row>
    <row r="416" spans="1:6" x14ac:dyDescent="0.3">
      <c r="A416">
        <v>1415</v>
      </c>
      <c r="B416" t="s">
        <v>24</v>
      </c>
      <c r="C416">
        <v>113424</v>
      </c>
      <c r="D416">
        <v>100</v>
      </c>
      <c r="E416" t="s">
        <v>16</v>
      </c>
      <c r="F416" t="s">
        <v>17</v>
      </c>
    </row>
    <row r="417" spans="1:6" x14ac:dyDescent="0.3">
      <c r="A417">
        <v>1416</v>
      </c>
      <c r="B417" t="s">
        <v>6</v>
      </c>
      <c r="C417">
        <v>93651</v>
      </c>
      <c r="D417">
        <v>42</v>
      </c>
      <c r="E417" t="s">
        <v>19</v>
      </c>
      <c r="F417" t="s">
        <v>23</v>
      </c>
    </row>
    <row r="418" spans="1:6" x14ac:dyDescent="0.3">
      <c r="A418">
        <v>1417</v>
      </c>
      <c r="B418" t="s">
        <v>15</v>
      </c>
      <c r="C418">
        <v>40003</v>
      </c>
      <c r="D418">
        <v>75</v>
      </c>
      <c r="E418" t="s">
        <v>10</v>
      </c>
      <c r="F418" t="s">
        <v>23</v>
      </c>
    </row>
    <row r="419" spans="1:6" x14ac:dyDescent="0.3">
      <c r="A419">
        <v>1418</v>
      </c>
      <c r="B419" t="s">
        <v>9</v>
      </c>
      <c r="C419">
        <v>16506</v>
      </c>
      <c r="D419">
        <v>85</v>
      </c>
      <c r="E419" t="s">
        <v>27</v>
      </c>
      <c r="F419" t="s">
        <v>23</v>
      </c>
    </row>
    <row r="420" spans="1:6" x14ac:dyDescent="0.3">
      <c r="A420">
        <v>1419</v>
      </c>
      <c r="B420" t="s">
        <v>12</v>
      </c>
      <c r="C420">
        <v>44831</v>
      </c>
      <c r="D420">
        <v>85</v>
      </c>
      <c r="E420" t="s">
        <v>7</v>
      </c>
      <c r="F420" t="s">
        <v>23</v>
      </c>
    </row>
    <row r="421" spans="1:6" x14ac:dyDescent="0.3">
      <c r="A421">
        <v>1420</v>
      </c>
      <c r="B421" t="s">
        <v>28</v>
      </c>
      <c r="C421">
        <v>38471</v>
      </c>
      <c r="D421">
        <v>49</v>
      </c>
      <c r="E421" t="s">
        <v>22</v>
      </c>
      <c r="F421" t="s">
        <v>29</v>
      </c>
    </row>
    <row r="422" spans="1:6" x14ac:dyDescent="0.3">
      <c r="A422">
        <v>1421</v>
      </c>
      <c r="B422" t="s">
        <v>12</v>
      </c>
      <c r="C422">
        <v>10411</v>
      </c>
      <c r="D422">
        <v>6</v>
      </c>
      <c r="E422" t="s">
        <v>7</v>
      </c>
      <c r="F422" t="s">
        <v>30</v>
      </c>
    </row>
    <row r="423" spans="1:6" x14ac:dyDescent="0.3">
      <c r="A423">
        <v>1422</v>
      </c>
      <c r="B423" t="s">
        <v>25</v>
      </c>
      <c r="C423">
        <v>105412</v>
      </c>
      <c r="D423">
        <v>82</v>
      </c>
      <c r="E423" t="s">
        <v>13</v>
      </c>
      <c r="F423" t="s">
        <v>20</v>
      </c>
    </row>
    <row r="424" spans="1:6" x14ac:dyDescent="0.3">
      <c r="A424">
        <v>1423</v>
      </c>
      <c r="B424" t="s">
        <v>28</v>
      </c>
      <c r="C424">
        <v>1151</v>
      </c>
      <c r="D424">
        <v>75</v>
      </c>
      <c r="E424" t="s">
        <v>16</v>
      </c>
      <c r="F424" t="s">
        <v>30</v>
      </c>
    </row>
    <row r="425" spans="1:6" x14ac:dyDescent="0.3">
      <c r="A425">
        <v>1424</v>
      </c>
      <c r="B425" t="s">
        <v>18</v>
      </c>
      <c r="C425">
        <v>72852</v>
      </c>
      <c r="D425">
        <v>47</v>
      </c>
      <c r="E425" t="s">
        <v>19</v>
      </c>
      <c r="F425" t="s">
        <v>23</v>
      </c>
    </row>
    <row r="426" spans="1:6" x14ac:dyDescent="0.3">
      <c r="A426">
        <v>1425</v>
      </c>
      <c r="B426" t="s">
        <v>18</v>
      </c>
      <c r="C426">
        <v>162493</v>
      </c>
      <c r="D426">
        <v>68</v>
      </c>
      <c r="E426" t="s">
        <v>34</v>
      </c>
      <c r="F426" t="s">
        <v>20</v>
      </c>
    </row>
    <row r="427" spans="1:6" x14ac:dyDescent="0.3">
      <c r="A427">
        <v>1426</v>
      </c>
      <c r="B427" t="s">
        <v>15</v>
      </c>
      <c r="C427">
        <v>23103</v>
      </c>
      <c r="D427">
        <v>91</v>
      </c>
      <c r="E427" t="s">
        <v>27</v>
      </c>
      <c r="F427" t="s">
        <v>14</v>
      </c>
    </row>
    <row r="428" spans="1:6" x14ac:dyDescent="0.3">
      <c r="A428">
        <v>1427</v>
      </c>
      <c r="B428" t="s">
        <v>18</v>
      </c>
      <c r="C428">
        <v>177037</v>
      </c>
      <c r="D428">
        <v>43</v>
      </c>
      <c r="E428" t="s">
        <v>27</v>
      </c>
      <c r="F428" t="s">
        <v>30</v>
      </c>
    </row>
    <row r="429" spans="1:6" x14ac:dyDescent="0.3">
      <c r="A429">
        <v>1428</v>
      </c>
      <c r="B429" t="s">
        <v>21</v>
      </c>
      <c r="C429">
        <v>119810</v>
      </c>
      <c r="D429">
        <v>48</v>
      </c>
      <c r="E429" t="s">
        <v>10</v>
      </c>
      <c r="F429" t="s">
        <v>23</v>
      </c>
    </row>
    <row r="430" spans="1:6" x14ac:dyDescent="0.3">
      <c r="A430">
        <v>1429</v>
      </c>
      <c r="B430" t="s">
        <v>6</v>
      </c>
      <c r="C430">
        <v>117223</v>
      </c>
      <c r="D430">
        <v>87</v>
      </c>
      <c r="E430" t="s">
        <v>7</v>
      </c>
      <c r="F430" t="s">
        <v>14</v>
      </c>
    </row>
    <row r="431" spans="1:6" x14ac:dyDescent="0.3">
      <c r="A431">
        <v>1430</v>
      </c>
      <c r="B431" t="s">
        <v>12</v>
      </c>
      <c r="C431">
        <v>36275</v>
      </c>
      <c r="D431">
        <v>87</v>
      </c>
      <c r="E431" t="s">
        <v>13</v>
      </c>
      <c r="F431" t="s">
        <v>14</v>
      </c>
    </row>
    <row r="432" spans="1:6" x14ac:dyDescent="0.3">
      <c r="A432">
        <v>1431</v>
      </c>
      <c r="B432" t="s">
        <v>6</v>
      </c>
      <c r="C432">
        <v>133180</v>
      </c>
      <c r="D432">
        <v>83</v>
      </c>
      <c r="E432" t="s">
        <v>26</v>
      </c>
      <c r="F432" t="s">
        <v>17</v>
      </c>
    </row>
    <row r="433" spans="1:6" x14ac:dyDescent="0.3">
      <c r="A433">
        <v>1432</v>
      </c>
      <c r="B433" t="s">
        <v>21</v>
      </c>
      <c r="C433">
        <v>42590</v>
      </c>
      <c r="D433">
        <v>50</v>
      </c>
      <c r="E433" t="s">
        <v>7</v>
      </c>
      <c r="F433" t="s">
        <v>29</v>
      </c>
    </row>
    <row r="434" spans="1:6" x14ac:dyDescent="0.3">
      <c r="A434">
        <v>1433</v>
      </c>
      <c r="B434" t="s">
        <v>31</v>
      </c>
      <c r="C434">
        <v>62780</v>
      </c>
      <c r="D434">
        <v>90</v>
      </c>
      <c r="E434" t="s">
        <v>26</v>
      </c>
      <c r="F434" t="s">
        <v>8</v>
      </c>
    </row>
    <row r="435" spans="1:6" x14ac:dyDescent="0.3">
      <c r="A435">
        <v>1434</v>
      </c>
      <c r="B435" t="s">
        <v>6</v>
      </c>
      <c r="C435">
        <v>127340</v>
      </c>
      <c r="D435">
        <v>31</v>
      </c>
      <c r="E435" t="s">
        <v>13</v>
      </c>
      <c r="F435" t="s">
        <v>23</v>
      </c>
    </row>
    <row r="436" spans="1:6" x14ac:dyDescent="0.3">
      <c r="A436">
        <v>1435</v>
      </c>
      <c r="B436" t="s">
        <v>15</v>
      </c>
      <c r="C436">
        <v>83889</v>
      </c>
      <c r="D436">
        <v>27</v>
      </c>
      <c r="E436" t="s">
        <v>26</v>
      </c>
      <c r="F436" t="s">
        <v>14</v>
      </c>
    </row>
    <row r="437" spans="1:6" x14ac:dyDescent="0.3">
      <c r="A437">
        <v>1436</v>
      </c>
      <c r="B437" t="s">
        <v>31</v>
      </c>
      <c r="C437">
        <v>58963</v>
      </c>
      <c r="D437">
        <v>37</v>
      </c>
      <c r="E437" t="s">
        <v>34</v>
      </c>
      <c r="F437" t="s">
        <v>30</v>
      </c>
    </row>
    <row r="438" spans="1:6" x14ac:dyDescent="0.3">
      <c r="A438">
        <v>1437</v>
      </c>
      <c r="B438" t="s">
        <v>21</v>
      </c>
      <c r="C438">
        <v>113328</v>
      </c>
      <c r="D438">
        <v>46</v>
      </c>
      <c r="E438" t="s">
        <v>19</v>
      </c>
      <c r="F438" t="s">
        <v>30</v>
      </c>
    </row>
    <row r="439" spans="1:6" x14ac:dyDescent="0.3">
      <c r="A439">
        <v>1438</v>
      </c>
      <c r="B439" t="s">
        <v>15</v>
      </c>
      <c r="C439">
        <v>19850</v>
      </c>
      <c r="D439">
        <v>12</v>
      </c>
      <c r="E439" t="s">
        <v>34</v>
      </c>
      <c r="F439" t="s">
        <v>20</v>
      </c>
    </row>
    <row r="440" spans="1:6" x14ac:dyDescent="0.3">
      <c r="A440">
        <v>1439</v>
      </c>
      <c r="B440" t="s">
        <v>12</v>
      </c>
      <c r="C440">
        <v>40255</v>
      </c>
      <c r="D440">
        <v>67</v>
      </c>
      <c r="E440" t="s">
        <v>26</v>
      </c>
      <c r="F440" t="s">
        <v>30</v>
      </c>
    </row>
    <row r="441" spans="1:6" x14ac:dyDescent="0.3">
      <c r="A441">
        <v>1440</v>
      </c>
      <c r="B441" t="s">
        <v>18</v>
      </c>
      <c r="C441">
        <v>4562</v>
      </c>
      <c r="D441">
        <v>21</v>
      </c>
      <c r="E441" t="s">
        <v>10</v>
      </c>
      <c r="F441" t="s">
        <v>33</v>
      </c>
    </row>
    <row r="442" spans="1:6" x14ac:dyDescent="0.3">
      <c r="A442">
        <v>1441</v>
      </c>
      <c r="B442" t="s">
        <v>24</v>
      </c>
      <c r="C442">
        <v>152586</v>
      </c>
      <c r="D442">
        <v>14</v>
      </c>
      <c r="E442" t="s">
        <v>10</v>
      </c>
      <c r="F442" t="s">
        <v>14</v>
      </c>
    </row>
    <row r="443" spans="1:6" x14ac:dyDescent="0.3">
      <c r="A443">
        <v>1442</v>
      </c>
      <c r="B443" t="s">
        <v>21</v>
      </c>
      <c r="C443">
        <v>6192</v>
      </c>
      <c r="D443">
        <v>49</v>
      </c>
      <c r="E443" t="s">
        <v>22</v>
      </c>
      <c r="F443" t="s">
        <v>20</v>
      </c>
    </row>
    <row r="444" spans="1:6" x14ac:dyDescent="0.3">
      <c r="A444">
        <v>1443</v>
      </c>
      <c r="B444" t="s">
        <v>24</v>
      </c>
      <c r="C444">
        <v>154842</v>
      </c>
      <c r="D444">
        <v>36</v>
      </c>
      <c r="E444" t="s">
        <v>7</v>
      </c>
      <c r="F444" t="s">
        <v>14</v>
      </c>
    </row>
    <row r="445" spans="1:6" x14ac:dyDescent="0.3">
      <c r="A445">
        <v>1444</v>
      </c>
      <c r="B445" t="s">
        <v>6</v>
      </c>
      <c r="C445">
        <v>67520</v>
      </c>
      <c r="D445">
        <v>55</v>
      </c>
      <c r="E445" t="s">
        <v>16</v>
      </c>
      <c r="F445" t="s">
        <v>29</v>
      </c>
    </row>
    <row r="446" spans="1:6" x14ac:dyDescent="0.3">
      <c r="A446">
        <v>1445</v>
      </c>
      <c r="B446" t="s">
        <v>15</v>
      </c>
      <c r="C446">
        <v>22963</v>
      </c>
      <c r="D446">
        <v>72</v>
      </c>
      <c r="E446" t="s">
        <v>7</v>
      </c>
      <c r="F446" t="s">
        <v>32</v>
      </c>
    </row>
    <row r="447" spans="1:6" x14ac:dyDescent="0.3">
      <c r="A447">
        <v>1446</v>
      </c>
      <c r="B447" t="s">
        <v>6</v>
      </c>
      <c r="C447">
        <v>79271</v>
      </c>
      <c r="D447">
        <v>66</v>
      </c>
      <c r="E447" t="s">
        <v>10</v>
      </c>
      <c r="F447" t="s">
        <v>20</v>
      </c>
    </row>
    <row r="448" spans="1:6" x14ac:dyDescent="0.3">
      <c r="A448">
        <v>1447</v>
      </c>
      <c r="B448" t="s">
        <v>25</v>
      </c>
      <c r="C448">
        <v>110250</v>
      </c>
      <c r="D448">
        <v>30</v>
      </c>
      <c r="E448" t="s">
        <v>10</v>
      </c>
      <c r="F448" t="s">
        <v>8</v>
      </c>
    </row>
    <row r="449" spans="1:6" x14ac:dyDescent="0.3">
      <c r="A449">
        <v>1448</v>
      </c>
      <c r="B449" t="s">
        <v>6</v>
      </c>
      <c r="C449">
        <v>7520</v>
      </c>
      <c r="D449">
        <v>66</v>
      </c>
      <c r="E449" t="s">
        <v>22</v>
      </c>
      <c r="F449" t="s">
        <v>17</v>
      </c>
    </row>
    <row r="450" spans="1:6" x14ac:dyDescent="0.3">
      <c r="A450">
        <v>1449</v>
      </c>
      <c r="B450" t="s">
        <v>18</v>
      </c>
      <c r="C450">
        <v>60063</v>
      </c>
      <c r="D450">
        <v>36</v>
      </c>
      <c r="E450" t="s">
        <v>19</v>
      </c>
      <c r="F450" t="s">
        <v>29</v>
      </c>
    </row>
    <row r="451" spans="1:6" x14ac:dyDescent="0.3">
      <c r="A451">
        <v>1450</v>
      </c>
      <c r="B451" t="s">
        <v>21</v>
      </c>
      <c r="C451">
        <v>39975</v>
      </c>
      <c r="D451">
        <v>37</v>
      </c>
      <c r="E451" t="s">
        <v>34</v>
      </c>
      <c r="F451" t="s">
        <v>14</v>
      </c>
    </row>
    <row r="452" spans="1:6" x14ac:dyDescent="0.3">
      <c r="A452">
        <v>1451</v>
      </c>
      <c r="B452" t="s">
        <v>15</v>
      </c>
      <c r="C452">
        <v>129599</v>
      </c>
      <c r="D452">
        <v>82</v>
      </c>
      <c r="E452" t="s">
        <v>22</v>
      </c>
      <c r="F452" t="s">
        <v>23</v>
      </c>
    </row>
    <row r="453" spans="1:6" x14ac:dyDescent="0.3">
      <c r="A453">
        <v>1452</v>
      </c>
      <c r="B453" t="s">
        <v>6</v>
      </c>
      <c r="C453">
        <v>117939</v>
      </c>
      <c r="D453">
        <v>88</v>
      </c>
      <c r="E453" t="s">
        <v>16</v>
      </c>
      <c r="F453" t="s">
        <v>14</v>
      </c>
    </row>
    <row r="454" spans="1:6" x14ac:dyDescent="0.3">
      <c r="A454">
        <v>1453</v>
      </c>
      <c r="B454" t="s">
        <v>31</v>
      </c>
      <c r="C454">
        <v>102164</v>
      </c>
      <c r="D454">
        <v>80</v>
      </c>
      <c r="E454" t="s">
        <v>16</v>
      </c>
      <c r="F454" t="s">
        <v>29</v>
      </c>
    </row>
    <row r="455" spans="1:6" x14ac:dyDescent="0.3">
      <c r="A455">
        <v>1454</v>
      </c>
      <c r="B455" t="s">
        <v>9</v>
      </c>
      <c r="C455">
        <v>109577</v>
      </c>
      <c r="D455">
        <v>54</v>
      </c>
      <c r="E455" t="s">
        <v>7</v>
      </c>
      <c r="F455" t="s">
        <v>11</v>
      </c>
    </row>
    <row r="456" spans="1:6" x14ac:dyDescent="0.3">
      <c r="A456">
        <v>1455</v>
      </c>
      <c r="B456" t="s">
        <v>12</v>
      </c>
      <c r="C456">
        <v>17838</v>
      </c>
      <c r="D456">
        <v>71</v>
      </c>
      <c r="E456" t="s">
        <v>19</v>
      </c>
      <c r="F456" t="s">
        <v>32</v>
      </c>
    </row>
    <row r="457" spans="1:6" x14ac:dyDescent="0.3">
      <c r="A457">
        <v>1456</v>
      </c>
      <c r="B457" t="s">
        <v>15</v>
      </c>
      <c r="C457">
        <v>131918</v>
      </c>
      <c r="D457">
        <v>12</v>
      </c>
      <c r="E457" t="s">
        <v>10</v>
      </c>
      <c r="F457" t="s">
        <v>23</v>
      </c>
    </row>
    <row r="458" spans="1:6" x14ac:dyDescent="0.3">
      <c r="A458">
        <v>1457</v>
      </c>
      <c r="B458" t="s">
        <v>9</v>
      </c>
      <c r="C458">
        <v>143321</v>
      </c>
      <c r="D458">
        <v>49</v>
      </c>
      <c r="E458" t="s">
        <v>26</v>
      </c>
      <c r="F458" t="s">
        <v>14</v>
      </c>
    </row>
    <row r="459" spans="1:6" x14ac:dyDescent="0.3">
      <c r="A459">
        <v>1458</v>
      </c>
      <c r="B459" t="s">
        <v>24</v>
      </c>
      <c r="C459">
        <v>161702</v>
      </c>
      <c r="D459">
        <v>26</v>
      </c>
      <c r="E459" t="s">
        <v>16</v>
      </c>
      <c r="F459" t="s">
        <v>8</v>
      </c>
    </row>
    <row r="460" spans="1:6" x14ac:dyDescent="0.3">
      <c r="A460">
        <v>1459</v>
      </c>
      <c r="B460" t="s">
        <v>12</v>
      </c>
      <c r="C460">
        <v>57886</v>
      </c>
      <c r="D460">
        <v>80</v>
      </c>
      <c r="E460" t="s">
        <v>7</v>
      </c>
      <c r="F460" t="s">
        <v>17</v>
      </c>
    </row>
    <row r="461" spans="1:6" x14ac:dyDescent="0.3">
      <c r="A461">
        <v>1460</v>
      </c>
      <c r="B461" t="s">
        <v>24</v>
      </c>
      <c r="C461">
        <v>113481</v>
      </c>
      <c r="D461">
        <v>82</v>
      </c>
      <c r="E461" t="s">
        <v>22</v>
      </c>
      <c r="F461" t="s">
        <v>20</v>
      </c>
    </row>
    <row r="462" spans="1:6" x14ac:dyDescent="0.3">
      <c r="A462">
        <v>1461</v>
      </c>
      <c r="B462" t="s">
        <v>24</v>
      </c>
      <c r="C462">
        <v>148804</v>
      </c>
      <c r="D462">
        <v>85</v>
      </c>
      <c r="E462" t="s">
        <v>10</v>
      </c>
      <c r="F462" t="s">
        <v>11</v>
      </c>
    </row>
    <row r="463" spans="1:6" x14ac:dyDescent="0.3">
      <c r="A463">
        <v>1462</v>
      </c>
      <c r="B463" t="s">
        <v>21</v>
      </c>
      <c r="C463">
        <v>100600</v>
      </c>
      <c r="D463">
        <v>40</v>
      </c>
      <c r="E463" t="s">
        <v>22</v>
      </c>
      <c r="F463" t="s">
        <v>23</v>
      </c>
    </row>
    <row r="464" spans="1:6" x14ac:dyDescent="0.3">
      <c r="A464">
        <v>1463</v>
      </c>
      <c r="B464" t="s">
        <v>31</v>
      </c>
      <c r="C464">
        <v>157721</v>
      </c>
      <c r="D464">
        <v>70</v>
      </c>
      <c r="E464" t="s">
        <v>34</v>
      </c>
      <c r="F464" t="s">
        <v>29</v>
      </c>
    </row>
    <row r="465" spans="1:6" x14ac:dyDescent="0.3">
      <c r="A465">
        <v>1464</v>
      </c>
      <c r="B465" t="s">
        <v>28</v>
      </c>
      <c r="C465">
        <v>64816</v>
      </c>
      <c r="D465">
        <v>60</v>
      </c>
      <c r="E465" t="s">
        <v>27</v>
      </c>
      <c r="F465" t="s">
        <v>29</v>
      </c>
    </row>
    <row r="466" spans="1:6" x14ac:dyDescent="0.3">
      <c r="A466">
        <v>1465</v>
      </c>
      <c r="B466" t="s">
        <v>31</v>
      </c>
      <c r="C466">
        <v>26658</v>
      </c>
      <c r="D466">
        <v>65</v>
      </c>
      <c r="E466" t="s">
        <v>7</v>
      </c>
      <c r="F466" t="s">
        <v>30</v>
      </c>
    </row>
    <row r="467" spans="1:6" x14ac:dyDescent="0.3">
      <c r="A467">
        <v>1466</v>
      </c>
      <c r="B467" t="s">
        <v>15</v>
      </c>
      <c r="C467">
        <v>59399</v>
      </c>
      <c r="D467">
        <v>52</v>
      </c>
      <c r="E467" t="s">
        <v>26</v>
      </c>
      <c r="F467" t="s">
        <v>23</v>
      </c>
    </row>
    <row r="468" spans="1:6" x14ac:dyDescent="0.3">
      <c r="A468">
        <v>1467</v>
      </c>
      <c r="B468" t="s">
        <v>24</v>
      </c>
      <c r="C468">
        <v>118050</v>
      </c>
      <c r="D468">
        <v>33</v>
      </c>
      <c r="E468" t="s">
        <v>16</v>
      </c>
      <c r="F468" t="s">
        <v>33</v>
      </c>
    </row>
    <row r="469" spans="1:6" x14ac:dyDescent="0.3">
      <c r="A469">
        <v>1468</v>
      </c>
      <c r="B469" t="s">
        <v>28</v>
      </c>
      <c r="C469">
        <v>110279</v>
      </c>
      <c r="D469">
        <v>18</v>
      </c>
      <c r="E469" t="s">
        <v>16</v>
      </c>
      <c r="F469" t="s">
        <v>20</v>
      </c>
    </row>
    <row r="470" spans="1:6" x14ac:dyDescent="0.3">
      <c r="A470">
        <v>1469</v>
      </c>
      <c r="B470" t="s">
        <v>15</v>
      </c>
      <c r="C470">
        <v>21521</v>
      </c>
      <c r="D470">
        <v>82</v>
      </c>
      <c r="E470" t="s">
        <v>10</v>
      </c>
      <c r="F470" t="s">
        <v>8</v>
      </c>
    </row>
    <row r="471" spans="1:6" x14ac:dyDescent="0.3">
      <c r="A471">
        <v>1470</v>
      </c>
      <c r="B471" t="s">
        <v>28</v>
      </c>
      <c r="C471">
        <v>148860</v>
      </c>
      <c r="D471">
        <v>64</v>
      </c>
      <c r="E471" t="s">
        <v>7</v>
      </c>
      <c r="F471" t="s">
        <v>17</v>
      </c>
    </row>
    <row r="472" spans="1:6" x14ac:dyDescent="0.3">
      <c r="A472">
        <v>1471</v>
      </c>
      <c r="B472" t="s">
        <v>21</v>
      </c>
      <c r="C472">
        <v>26058</v>
      </c>
      <c r="D472">
        <v>42</v>
      </c>
      <c r="E472" t="s">
        <v>7</v>
      </c>
      <c r="F472" t="s">
        <v>32</v>
      </c>
    </row>
    <row r="473" spans="1:6" x14ac:dyDescent="0.3">
      <c r="A473">
        <v>1472</v>
      </c>
      <c r="B473" t="s">
        <v>21</v>
      </c>
      <c r="C473">
        <v>38469</v>
      </c>
      <c r="D473">
        <v>65</v>
      </c>
      <c r="E473" t="s">
        <v>34</v>
      </c>
      <c r="F473" t="s">
        <v>33</v>
      </c>
    </row>
    <row r="474" spans="1:6" x14ac:dyDescent="0.3">
      <c r="A474">
        <v>1473</v>
      </c>
      <c r="B474" t="s">
        <v>28</v>
      </c>
      <c r="C474">
        <v>19227</v>
      </c>
      <c r="D474">
        <v>79</v>
      </c>
      <c r="E474" t="s">
        <v>34</v>
      </c>
      <c r="F474" t="s">
        <v>11</v>
      </c>
    </row>
    <row r="475" spans="1:6" x14ac:dyDescent="0.3">
      <c r="A475">
        <v>1474</v>
      </c>
      <c r="B475" t="s">
        <v>15</v>
      </c>
      <c r="C475">
        <v>38009</v>
      </c>
      <c r="D475">
        <v>51</v>
      </c>
      <c r="E475" t="s">
        <v>26</v>
      </c>
      <c r="F475" t="s">
        <v>30</v>
      </c>
    </row>
    <row r="476" spans="1:6" x14ac:dyDescent="0.3">
      <c r="A476">
        <v>1475</v>
      </c>
      <c r="B476" t="s">
        <v>12</v>
      </c>
      <c r="C476">
        <v>174754</v>
      </c>
      <c r="D476">
        <v>94</v>
      </c>
      <c r="E476" t="s">
        <v>26</v>
      </c>
      <c r="F476" t="s">
        <v>32</v>
      </c>
    </row>
    <row r="477" spans="1:6" x14ac:dyDescent="0.3">
      <c r="A477">
        <v>1476</v>
      </c>
      <c r="B477" t="s">
        <v>15</v>
      </c>
      <c r="C477">
        <v>178988</v>
      </c>
      <c r="D477">
        <v>65</v>
      </c>
      <c r="E477" t="s">
        <v>10</v>
      </c>
      <c r="F477" t="s">
        <v>23</v>
      </c>
    </row>
    <row r="478" spans="1:6" x14ac:dyDescent="0.3">
      <c r="A478">
        <v>1477</v>
      </c>
      <c r="B478" t="s">
        <v>28</v>
      </c>
      <c r="C478">
        <v>193704</v>
      </c>
      <c r="D478">
        <v>14</v>
      </c>
      <c r="E478" t="s">
        <v>19</v>
      </c>
      <c r="F478" t="s">
        <v>33</v>
      </c>
    </row>
    <row r="479" spans="1:6" x14ac:dyDescent="0.3">
      <c r="A479">
        <v>1478</v>
      </c>
      <c r="B479" t="s">
        <v>6</v>
      </c>
      <c r="C479">
        <v>195133</v>
      </c>
      <c r="D479">
        <v>97</v>
      </c>
      <c r="E479" t="s">
        <v>19</v>
      </c>
      <c r="F479" t="s">
        <v>14</v>
      </c>
    </row>
    <row r="480" spans="1:6" x14ac:dyDescent="0.3">
      <c r="A480">
        <v>1479</v>
      </c>
      <c r="B480" t="s">
        <v>28</v>
      </c>
      <c r="C480">
        <v>76911</v>
      </c>
      <c r="D480">
        <v>77</v>
      </c>
      <c r="E480" t="s">
        <v>13</v>
      </c>
      <c r="F480" t="s">
        <v>20</v>
      </c>
    </row>
    <row r="481" spans="1:6" x14ac:dyDescent="0.3">
      <c r="A481">
        <v>1480</v>
      </c>
      <c r="B481" t="s">
        <v>21</v>
      </c>
      <c r="C481">
        <v>53941</v>
      </c>
      <c r="D481">
        <v>86</v>
      </c>
      <c r="E481" t="s">
        <v>13</v>
      </c>
      <c r="F481" t="s">
        <v>11</v>
      </c>
    </row>
    <row r="482" spans="1:6" x14ac:dyDescent="0.3">
      <c r="A482">
        <v>1481</v>
      </c>
      <c r="B482" t="s">
        <v>31</v>
      </c>
      <c r="C482">
        <v>31145</v>
      </c>
      <c r="D482">
        <v>24</v>
      </c>
      <c r="E482" t="s">
        <v>34</v>
      </c>
      <c r="F482" t="s">
        <v>30</v>
      </c>
    </row>
    <row r="483" spans="1:6" x14ac:dyDescent="0.3">
      <c r="A483">
        <v>1482</v>
      </c>
      <c r="B483" t="s">
        <v>28</v>
      </c>
      <c r="C483">
        <v>159009</v>
      </c>
      <c r="D483">
        <v>76</v>
      </c>
      <c r="E483" t="s">
        <v>26</v>
      </c>
      <c r="F483" t="s">
        <v>8</v>
      </c>
    </row>
    <row r="484" spans="1:6" x14ac:dyDescent="0.3">
      <c r="A484">
        <v>1483</v>
      </c>
      <c r="B484" t="s">
        <v>9</v>
      </c>
      <c r="C484">
        <v>79231</v>
      </c>
      <c r="D484">
        <v>43</v>
      </c>
      <c r="E484" t="s">
        <v>13</v>
      </c>
      <c r="F484" t="s">
        <v>20</v>
      </c>
    </row>
    <row r="485" spans="1:6" x14ac:dyDescent="0.3">
      <c r="A485">
        <v>1484</v>
      </c>
      <c r="B485" t="s">
        <v>21</v>
      </c>
      <c r="C485">
        <v>50560</v>
      </c>
      <c r="D485">
        <v>90</v>
      </c>
      <c r="E485" t="s">
        <v>13</v>
      </c>
      <c r="F485" t="s">
        <v>32</v>
      </c>
    </row>
    <row r="486" spans="1:6" x14ac:dyDescent="0.3">
      <c r="A486">
        <v>1485</v>
      </c>
      <c r="B486" t="s">
        <v>6</v>
      </c>
      <c r="C486">
        <v>190648</v>
      </c>
      <c r="D486">
        <v>5</v>
      </c>
      <c r="E486" t="s">
        <v>10</v>
      </c>
      <c r="F486" t="s">
        <v>33</v>
      </c>
    </row>
    <row r="487" spans="1:6" x14ac:dyDescent="0.3">
      <c r="A487">
        <v>1486</v>
      </c>
      <c r="B487" t="s">
        <v>28</v>
      </c>
      <c r="C487">
        <v>163516</v>
      </c>
      <c r="D487">
        <v>90</v>
      </c>
      <c r="E487" t="s">
        <v>7</v>
      </c>
      <c r="F487" t="s">
        <v>8</v>
      </c>
    </row>
    <row r="488" spans="1:6" x14ac:dyDescent="0.3">
      <c r="A488">
        <v>1487</v>
      </c>
      <c r="B488" t="s">
        <v>21</v>
      </c>
      <c r="C488">
        <v>171711</v>
      </c>
      <c r="D488">
        <v>49</v>
      </c>
      <c r="E488" t="s">
        <v>22</v>
      </c>
      <c r="F488" t="s">
        <v>17</v>
      </c>
    </row>
    <row r="489" spans="1:6" x14ac:dyDescent="0.3">
      <c r="A489">
        <v>1488</v>
      </c>
      <c r="B489" t="s">
        <v>9</v>
      </c>
      <c r="C489">
        <v>160629</v>
      </c>
      <c r="D489">
        <v>73</v>
      </c>
      <c r="E489" t="s">
        <v>27</v>
      </c>
      <c r="F489" t="s">
        <v>30</v>
      </c>
    </row>
    <row r="490" spans="1:6" x14ac:dyDescent="0.3">
      <c r="A490">
        <v>1489</v>
      </c>
      <c r="B490" t="s">
        <v>15</v>
      </c>
      <c r="C490">
        <v>176371</v>
      </c>
      <c r="D490">
        <v>9</v>
      </c>
      <c r="E490" t="s">
        <v>16</v>
      </c>
      <c r="F490" t="s">
        <v>23</v>
      </c>
    </row>
    <row r="491" spans="1:6" x14ac:dyDescent="0.3">
      <c r="A491">
        <v>1490</v>
      </c>
      <c r="B491" t="s">
        <v>18</v>
      </c>
      <c r="C491">
        <v>152032</v>
      </c>
      <c r="D491">
        <v>18</v>
      </c>
      <c r="E491" t="s">
        <v>10</v>
      </c>
      <c r="F491" t="s">
        <v>23</v>
      </c>
    </row>
    <row r="492" spans="1:6" x14ac:dyDescent="0.3">
      <c r="A492">
        <v>1491</v>
      </c>
      <c r="B492" t="s">
        <v>25</v>
      </c>
      <c r="C492">
        <v>7381</v>
      </c>
      <c r="D492">
        <v>65</v>
      </c>
      <c r="E492" t="s">
        <v>27</v>
      </c>
      <c r="F492" t="s">
        <v>33</v>
      </c>
    </row>
    <row r="493" spans="1:6" x14ac:dyDescent="0.3">
      <c r="A493">
        <v>1492</v>
      </c>
      <c r="B493" t="s">
        <v>15</v>
      </c>
      <c r="C493">
        <v>103893</v>
      </c>
      <c r="D493">
        <v>57</v>
      </c>
      <c r="E493" t="s">
        <v>22</v>
      </c>
      <c r="F493" t="s">
        <v>33</v>
      </c>
    </row>
    <row r="494" spans="1:6" x14ac:dyDescent="0.3">
      <c r="A494">
        <v>1493</v>
      </c>
      <c r="B494" t="s">
        <v>28</v>
      </c>
      <c r="C494">
        <v>193236</v>
      </c>
      <c r="D494">
        <v>57</v>
      </c>
      <c r="E494" t="s">
        <v>13</v>
      </c>
      <c r="F494" t="s">
        <v>8</v>
      </c>
    </row>
    <row r="495" spans="1:6" x14ac:dyDescent="0.3">
      <c r="A495">
        <v>1494</v>
      </c>
      <c r="B495" t="s">
        <v>12</v>
      </c>
      <c r="C495">
        <v>162654</v>
      </c>
      <c r="D495">
        <v>61</v>
      </c>
      <c r="E495" t="s">
        <v>10</v>
      </c>
      <c r="F495" t="s">
        <v>17</v>
      </c>
    </row>
    <row r="496" spans="1:6" x14ac:dyDescent="0.3">
      <c r="A496">
        <v>1495</v>
      </c>
      <c r="B496" t="s">
        <v>21</v>
      </c>
      <c r="C496">
        <v>39438</v>
      </c>
      <c r="D496">
        <v>36</v>
      </c>
      <c r="E496" t="s">
        <v>13</v>
      </c>
      <c r="F496" t="s">
        <v>29</v>
      </c>
    </row>
    <row r="497" spans="1:6" x14ac:dyDescent="0.3">
      <c r="A497">
        <v>1496</v>
      </c>
      <c r="B497" t="s">
        <v>9</v>
      </c>
      <c r="C497">
        <v>35412</v>
      </c>
      <c r="D497">
        <v>63</v>
      </c>
      <c r="E497" t="s">
        <v>7</v>
      </c>
      <c r="F497" t="s">
        <v>20</v>
      </c>
    </row>
    <row r="498" spans="1:6" x14ac:dyDescent="0.3">
      <c r="A498">
        <v>1497</v>
      </c>
      <c r="B498" t="s">
        <v>24</v>
      </c>
      <c r="C498">
        <v>102520</v>
      </c>
      <c r="D498">
        <v>36</v>
      </c>
      <c r="E498" t="s">
        <v>34</v>
      </c>
      <c r="F498" t="s">
        <v>29</v>
      </c>
    </row>
    <row r="499" spans="1:6" x14ac:dyDescent="0.3">
      <c r="A499">
        <v>1498</v>
      </c>
      <c r="B499" t="s">
        <v>18</v>
      </c>
      <c r="C499">
        <v>71882</v>
      </c>
      <c r="D499">
        <v>12</v>
      </c>
      <c r="E499" t="s">
        <v>7</v>
      </c>
      <c r="F499" t="s">
        <v>32</v>
      </c>
    </row>
    <row r="500" spans="1:6" x14ac:dyDescent="0.3">
      <c r="A500">
        <v>1499</v>
      </c>
      <c r="B500" t="s">
        <v>24</v>
      </c>
      <c r="C500">
        <v>76130</v>
      </c>
      <c r="D500">
        <v>37</v>
      </c>
      <c r="E500" t="s">
        <v>19</v>
      </c>
      <c r="F500" t="s">
        <v>17</v>
      </c>
    </row>
    <row r="501" spans="1:6" x14ac:dyDescent="0.3">
      <c r="A501">
        <v>1500</v>
      </c>
      <c r="B501" t="s">
        <v>12</v>
      </c>
      <c r="C501">
        <v>14556</v>
      </c>
      <c r="D501">
        <v>45</v>
      </c>
      <c r="E501" t="s">
        <v>16</v>
      </c>
      <c r="F501"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198A-041F-4847-A3CF-6E453F11ECD7}">
  <sheetPr>
    <tabColor theme="6" tint="-0.249977111117893"/>
  </sheetPr>
  <dimension ref="A3:N46"/>
  <sheetViews>
    <sheetView showGridLines="0" tabSelected="1" zoomScale="69" workbookViewId="0">
      <selection activeCell="I33" sqref="I33"/>
    </sheetView>
  </sheetViews>
  <sheetFormatPr defaultRowHeight="14.4" x14ac:dyDescent="0.3"/>
  <cols>
    <col min="1" max="1" width="14.109375" bestFit="1" customWidth="1"/>
    <col min="2" max="2" width="17" bestFit="1" customWidth="1"/>
    <col min="3" max="3" width="12.6640625" bestFit="1" customWidth="1"/>
    <col min="4" max="4" width="13.77734375" bestFit="1" customWidth="1"/>
    <col min="5" max="5" width="12.6640625" bestFit="1" customWidth="1"/>
    <col min="6" max="6" width="18.33203125" bestFit="1" customWidth="1"/>
    <col min="7" max="10" width="12.6640625" bestFit="1" customWidth="1"/>
    <col min="11" max="11" width="7" bestFit="1" customWidth="1"/>
    <col min="12" max="12" width="13.77734375" bestFit="1" customWidth="1"/>
    <col min="13" max="13" width="14.109375" bestFit="1" customWidth="1"/>
    <col min="14" max="14" width="15.5546875" bestFit="1" customWidth="1"/>
    <col min="15" max="15" width="11.5546875" bestFit="1" customWidth="1"/>
    <col min="16" max="16" width="8.21875" bestFit="1" customWidth="1"/>
    <col min="17" max="17" width="9.6640625" bestFit="1" customWidth="1"/>
    <col min="18" max="18" width="10.77734375" bestFit="1" customWidth="1"/>
    <col min="19" max="19" width="9.6640625" bestFit="1" customWidth="1"/>
    <col min="20" max="20" width="7" bestFit="1" customWidth="1"/>
    <col min="21" max="21" width="9.6640625" bestFit="1" customWidth="1"/>
    <col min="22" max="22" width="7" bestFit="1" customWidth="1"/>
    <col min="23" max="23" width="9.6640625" bestFit="1" customWidth="1"/>
    <col min="24" max="24" width="7" bestFit="1" customWidth="1"/>
    <col min="25" max="25" width="9.6640625" bestFit="1" customWidth="1"/>
    <col min="26" max="26" width="7" bestFit="1" customWidth="1"/>
    <col min="27" max="27" width="9.6640625" bestFit="1" customWidth="1"/>
    <col min="28" max="28" width="10.21875" bestFit="1" customWidth="1"/>
    <col min="29" max="29" width="9.6640625" bestFit="1" customWidth="1"/>
    <col min="30" max="30" width="10.77734375" bestFit="1" customWidth="1"/>
    <col min="31" max="31" width="9.6640625" bestFit="1" customWidth="1"/>
    <col min="32" max="32" width="7" bestFit="1" customWidth="1"/>
    <col min="33" max="33" width="9.6640625" bestFit="1" customWidth="1"/>
    <col min="34" max="34" width="7" bestFit="1" customWidth="1"/>
    <col min="35" max="35" width="9.6640625" bestFit="1" customWidth="1"/>
    <col min="36" max="36" width="10.77734375" bestFit="1" customWidth="1"/>
    <col min="37" max="37" width="9.6640625" bestFit="1" customWidth="1"/>
    <col min="38" max="38" width="7" bestFit="1" customWidth="1"/>
    <col min="39" max="39" width="9.6640625" bestFit="1" customWidth="1"/>
    <col min="40" max="40" width="10.77734375" bestFit="1" customWidth="1"/>
    <col min="41" max="41" width="10.6640625" bestFit="1" customWidth="1"/>
    <col min="42" max="42" width="10.21875" bestFit="1" customWidth="1"/>
    <col min="43" max="43" width="10.6640625" bestFit="1" customWidth="1"/>
    <col min="44" max="44" width="8.21875" bestFit="1" customWidth="1"/>
    <col min="45" max="45" width="10.6640625" bestFit="1" customWidth="1"/>
    <col min="46" max="46" width="8" bestFit="1" customWidth="1"/>
    <col min="47" max="47" width="10.6640625" bestFit="1" customWidth="1"/>
    <col min="48" max="48" width="8" bestFit="1" customWidth="1"/>
    <col min="49" max="49" width="7.44140625" bestFit="1" customWidth="1"/>
    <col min="50" max="50" width="10.6640625" bestFit="1" customWidth="1"/>
    <col min="51" max="51" width="8" bestFit="1" customWidth="1"/>
    <col min="52" max="52" width="10.6640625" bestFit="1" customWidth="1"/>
    <col min="53" max="53" width="8" bestFit="1" customWidth="1"/>
    <col min="54" max="54" width="10.6640625" bestFit="1" customWidth="1"/>
    <col min="55" max="55" width="8" bestFit="1" customWidth="1"/>
    <col min="56" max="56" width="10.6640625" bestFit="1" customWidth="1"/>
    <col min="57" max="57" width="8" bestFit="1" customWidth="1"/>
    <col min="58" max="58" width="10.6640625" bestFit="1" customWidth="1"/>
    <col min="59" max="59" width="10.21875" bestFit="1" customWidth="1"/>
    <col min="60" max="60" width="10.6640625" bestFit="1" customWidth="1"/>
    <col min="61" max="61" width="8" bestFit="1" customWidth="1"/>
    <col min="62" max="62" width="10.6640625" bestFit="1" customWidth="1"/>
    <col min="63" max="63" width="8" bestFit="1" customWidth="1"/>
    <col min="64" max="64" width="10.6640625" bestFit="1" customWidth="1"/>
    <col min="65" max="65" width="10.77734375" bestFit="1" customWidth="1"/>
    <col min="66" max="66" width="10.6640625" bestFit="1" customWidth="1"/>
    <col min="67" max="67" width="8.21875" bestFit="1" customWidth="1"/>
    <col min="68" max="68" width="10.6640625" bestFit="1" customWidth="1"/>
    <col min="69" max="69" width="10.77734375" bestFit="1" customWidth="1"/>
    <col min="70" max="70" width="10.6640625" bestFit="1" customWidth="1"/>
    <col min="71" max="71" width="8" bestFit="1" customWidth="1"/>
    <col min="72" max="72" width="10.6640625" bestFit="1" customWidth="1"/>
    <col min="73" max="73" width="10.77734375" bestFit="1" customWidth="1"/>
    <col min="74" max="74" width="10.6640625" bestFit="1" customWidth="1"/>
    <col min="75" max="75" width="8" bestFit="1" customWidth="1"/>
    <col min="76" max="76" width="10.6640625" bestFit="1" customWidth="1"/>
    <col min="77" max="77" width="10.5546875" bestFit="1" customWidth="1"/>
    <col min="78" max="78" width="10.6640625" bestFit="1" customWidth="1"/>
    <col min="79" max="79" width="10.21875" bestFit="1" customWidth="1"/>
    <col min="80" max="80" width="10.6640625" bestFit="1" customWidth="1"/>
    <col min="81" max="81" width="8.21875" bestFit="1" customWidth="1"/>
    <col min="82" max="82" width="10.6640625" bestFit="1" customWidth="1"/>
    <col min="83" max="83" width="8" bestFit="1" customWidth="1"/>
    <col min="84" max="84" width="10.6640625" bestFit="1" customWidth="1"/>
    <col min="85" max="85" width="10.21875" bestFit="1" customWidth="1"/>
    <col min="86" max="86" width="10.6640625" bestFit="1" customWidth="1"/>
    <col min="87" max="87" width="10.77734375" bestFit="1" customWidth="1"/>
    <col min="88" max="88" width="10.6640625" bestFit="1" customWidth="1"/>
    <col min="89" max="89" width="8" bestFit="1" customWidth="1"/>
    <col min="90" max="90" width="10.6640625" bestFit="1" customWidth="1"/>
    <col min="91" max="91" width="8.21875" bestFit="1" customWidth="1"/>
    <col min="92" max="92" width="10.6640625" bestFit="1" customWidth="1"/>
    <col min="93" max="93" width="8" bestFit="1" customWidth="1"/>
    <col min="94" max="94" width="10.6640625" bestFit="1" customWidth="1"/>
    <col min="95" max="95" width="8" bestFit="1" customWidth="1"/>
    <col min="96" max="96" width="10.6640625" bestFit="1" customWidth="1"/>
    <col min="97" max="97" width="8" bestFit="1" customWidth="1"/>
    <col min="98" max="98" width="10.6640625" bestFit="1" customWidth="1"/>
    <col min="99" max="99" width="8" bestFit="1" customWidth="1"/>
    <col min="100" max="100" width="10.6640625" bestFit="1" customWidth="1"/>
    <col min="101" max="101" width="10.77734375" bestFit="1" customWidth="1"/>
    <col min="102" max="102" width="10.6640625" bestFit="1" customWidth="1"/>
    <col min="103" max="103" width="8" bestFit="1" customWidth="1"/>
    <col min="104" max="104" width="10.6640625" bestFit="1" customWidth="1"/>
    <col min="105" max="105" width="8" bestFit="1" customWidth="1"/>
    <col min="106" max="106" width="10.6640625" bestFit="1" customWidth="1"/>
    <col min="107" max="107" width="8" bestFit="1" customWidth="1"/>
    <col min="108" max="108" width="10.6640625" bestFit="1" customWidth="1"/>
    <col min="109" max="109" width="10.21875" bestFit="1" customWidth="1"/>
    <col min="110" max="110" width="10.6640625" bestFit="1" customWidth="1"/>
    <col min="111" max="111" width="10.5546875" bestFit="1" customWidth="1"/>
    <col min="112" max="112" width="10.6640625" bestFit="1" customWidth="1"/>
    <col min="113" max="113" width="10.21875" bestFit="1" customWidth="1"/>
    <col min="114" max="114" width="10.6640625" bestFit="1" customWidth="1"/>
    <col min="115" max="115" width="8" bestFit="1" customWidth="1"/>
    <col min="116" max="116" width="10.6640625" bestFit="1" customWidth="1"/>
    <col min="117" max="117" width="8" bestFit="1" customWidth="1"/>
    <col min="118" max="118" width="10.6640625" bestFit="1" customWidth="1"/>
    <col min="119" max="119" width="8" bestFit="1" customWidth="1"/>
    <col min="120" max="120" width="10.6640625" bestFit="1" customWidth="1"/>
    <col min="121" max="121" width="8" bestFit="1" customWidth="1"/>
    <col min="122" max="122" width="10.6640625" bestFit="1" customWidth="1"/>
    <col min="123" max="123" width="10.21875" bestFit="1" customWidth="1"/>
    <col min="124" max="124" width="10.6640625" bestFit="1" customWidth="1"/>
    <col min="125" max="125" width="8" bestFit="1" customWidth="1"/>
    <col min="126" max="126" width="10.6640625" bestFit="1" customWidth="1"/>
    <col min="127" max="127" width="10.21875" bestFit="1" customWidth="1"/>
    <col min="128" max="128" width="10.6640625" bestFit="1" customWidth="1"/>
    <col min="129" max="129" width="8" bestFit="1" customWidth="1"/>
    <col min="130" max="130" width="10.6640625" bestFit="1" customWidth="1"/>
    <col min="131" max="131" width="10.5546875" bestFit="1" customWidth="1"/>
    <col min="132" max="132" width="10.6640625" bestFit="1" customWidth="1"/>
    <col min="133" max="133" width="8" bestFit="1" customWidth="1"/>
    <col min="134" max="134" width="10.6640625" bestFit="1" customWidth="1"/>
    <col min="135" max="135" width="8" bestFit="1" customWidth="1"/>
    <col min="136" max="136" width="10.6640625" bestFit="1" customWidth="1"/>
    <col min="137" max="137" width="8" bestFit="1" customWidth="1"/>
    <col min="138" max="138" width="10.6640625" bestFit="1" customWidth="1"/>
    <col min="139" max="139" width="10.21875" bestFit="1" customWidth="1"/>
    <col min="140" max="140" width="10.6640625" bestFit="1" customWidth="1"/>
    <col min="141" max="141" width="8" bestFit="1" customWidth="1"/>
    <col min="142" max="142" width="10.6640625" bestFit="1" customWidth="1"/>
    <col min="143" max="143" width="10.5546875" bestFit="1" customWidth="1"/>
    <col min="144" max="144" width="10.6640625" bestFit="1" customWidth="1"/>
    <col min="145" max="145" width="8" bestFit="1" customWidth="1"/>
    <col min="146" max="146" width="10.6640625" bestFit="1" customWidth="1"/>
    <col min="147" max="147" width="8" bestFit="1" customWidth="1"/>
    <col min="148" max="148" width="10.6640625" bestFit="1" customWidth="1"/>
    <col min="149" max="149" width="8" bestFit="1" customWidth="1"/>
    <col min="150" max="150" width="10.6640625" bestFit="1" customWidth="1"/>
    <col min="151" max="151" width="8" bestFit="1" customWidth="1"/>
    <col min="152" max="152" width="10.6640625" bestFit="1" customWidth="1"/>
    <col min="153" max="153" width="10.77734375" bestFit="1" customWidth="1"/>
    <col min="154" max="154" width="10.6640625" bestFit="1" customWidth="1"/>
    <col min="155" max="155" width="8" bestFit="1" customWidth="1"/>
    <col min="156" max="156" width="10.6640625" bestFit="1" customWidth="1"/>
    <col min="157" max="157" width="8" bestFit="1" customWidth="1"/>
    <col min="158" max="158" width="10.6640625" bestFit="1" customWidth="1"/>
    <col min="159" max="159" width="8" bestFit="1" customWidth="1"/>
    <col min="160" max="160" width="10.6640625" bestFit="1" customWidth="1"/>
    <col min="161" max="161" width="10.21875" bestFit="1" customWidth="1"/>
    <col min="162" max="162" width="10.6640625" bestFit="1" customWidth="1"/>
    <col min="163" max="163" width="10.21875" bestFit="1" customWidth="1"/>
    <col min="164" max="164" width="10.6640625" bestFit="1" customWidth="1"/>
    <col min="165" max="165" width="8" bestFit="1" customWidth="1"/>
    <col min="166" max="166" width="10.6640625" bestFit="1" customWidth="1"/>
    <col min="167" max="167" width="10.5546875" bestFit="1" customWidth="1"/>
    <col min="168" max="168" width="10.6640625" bestFit="1" customWidth="1"/>
    <col min="169" max="169" width="8" bestFit="1" customWidth="1"/>
    <col min="170" max="170" width="10.6640625" bestFit="1" customWidth="1"/>
    <col min="171" max="171" width="8.21875" bestFit="1" customWidth="1"/>
    <col min="172" max="172" width="10.6640625" bestFit="1" customWidth="1"/>
    <col min="173" max="173" width="8.21875" bestFit="1" customWidth="1"/>
    <col min="174" max="174" width="10.6640625" bestFit="1" customWidth="1"/>
    <col min="175" max="175" width="10.5546875" bestFit="1" customWidth="1"/>
    <col min="176" max="176" width="10.6640625" bestFit="1" customWidth="1"/>
    <col min="177" max="177" width="10.21875" bestFit="1" customWidth="1"/>
    <col min="178" max="178" width="10.6640625" bestFit="1" customWidth="1"/>
    <col min="179" max="179" width="8" bestFit="1" customWidth="1"/>
    <col min="180" max="180" width="10.6640625" bestFit="1" customWidth="1"/>
    <col min="181" max="181" width="8" bestFit="1" customWidth="1"/>
    <col min="182" max="182" width="10.6640625" bestFit="1" customWidth="1"/>
    <col min="183" max="183" width="8" bestFit="1" customWidth="1"/>
    <col min="184" max="184" width="10.6640625" bestFit="1" customWidth="1"/>
    <col min="185" max="185" width="8" bestFit="1" customWidth="1"/>
    <col min="186" max="186" width="10.6640625" bestFit="1" customWidth="1"/>
    <col min="187" max="187" width="8" bestFit="1" customWidth="1"/>
    <col min="188" max="188" width="10.6640625" bestFit="1" customWidth="1"/>
    <col min="189" max="189" width="10.5546875" bestFit="1" customWidth="1"/>
    <col min="190" max="190" width="10.6640625" bestFit="1" customWidth="1"/>
    <col min="191" max="191" width="8" bestFit="1" customWidth="1"/>
    <col min="192" max="192" width="10.6640625" bestFit="1" customWidth="1"/>
    <col min="193" max="193" width="8" bestFit="1" customWidth="1"/>
    <col min="194" max="194" width="10.6640625" bestFit="1" customWidth="1"/>
    <col min="195" max="195" width="8" bestFit="1" customWidth="1"/>
    <col min="196" max="196" width="10.6640625" bestFit="1" customWidth="1"/>
    <col min="197" max="197" width="8.21875" bestFit="1" customWidth="1"/>
    <col min="198" max="198" width="10.6640625" bestFit="1" customWidth="1"/>
    <col min="199" max="199" width="8" bestFit="1" customWidth="1"/>
    <col min="200" max="200" width="10.6640625" bestFit="1" customWidth="1"/>
    <col min="201" max="201" width="8" bestFit="1" customWidth="1"/>
    <col min="202" max="202" width="10.6640625" bestFit="1" customWidth="1"/>
    <col min="203" max="203" width="8" bestFit="1" customWidth="1"/>
    <col min="204" max="204" width="10.6640625" bestFit="1" customWidth="1"/>
    <col min="205" max="205" width="8" bestFit="1" customWidth="1"/>
    <col min="206" max="206" width="10.6640625" bestFit="1" customWidth="1"/>
    <col min="207" max="207" width="10.21875" bestFit="1" customWidth="1"/>
    <col min="208" max="208" width="10.6640625" bestFit="1" customWidth="1"/>
    <col min="209" max="209" width="8" bestFit="1" customWidth="1"/>
    <col min="210" max="210" width="10.6640625" bestFit="1" customWidth="1"/>
    <col min="211" max="211" width="10.21875" bestFit="1" customWidth="1"/>
    <col min="212" max="212" width="10.6640625" bestFit="1" customWidth="1"/>
    <col min="213" max="213" width="8" bestFit="1" customWidth="1"/>
    <col min="214" max="214" width="10.6640625" bestFit="1" customWidth="1"/>
    <col min="215" max="215" width="10.21875" bestFit="1" customWidth="1"/>
    <col min="216" max="216" width="10.6640625" bestFit="1" customWidth="1"/>
    <col min="217" max="217" width="10.5546875" bestFit="1" customWidth="1"/>
    <col min="218" max="218" width="10.6640625" bestFit="1" customWidth="1"/>
    <col min="219" max="219" width="10.21875" bestFit="1" customWidth="1"/>
    <col min="220" max="220" width="10.6640625" bestFit="1" customWidth="1"/>
    <col min="221" max="221" width="10.77734375" bestFit="1" customWidth="1"/>
    <col min="222" max="222" width="10.6640625" bestFit="1" customWidth="1"/>
    <col min="223" max="223" width="10.5546875" bestFit="1" customWidth="1"/>
    <col min="224" max="224" width="10.6640625" bestFit="1" customWidth="1"/>
    <col min="225" max="225" width="8" bestFit="1" customWidth="1"/>
    <col min="226" max="226" width="10.6640625" bestFit="1" customWidth="1"/>
    <col min="227" max="227" width="8" bestFit="1" customWidth="1"/>
    <col min="228" max="228" width="10.6640625" bestFit="1" customWidth="1"/>
    <col min="229" max="229" width="10.21875" bestFit="1" customWidth="1"/>
    <col min="230" max="230" width="10.6640625" bestFit="1" customWidth="1"/>
    <col min="231" max="231" width="8.21875" bestFit="1" customWidth="1"/>
    <col min="232" max="232" width="10.6640625" bestFit="1" customWidth="1"/>
    <col min="233" max="233" width="8" bestFit="1" customWidth="1"/>
    <col min="234" max="234" width="10.6640625" bestFit="1" customWidth="1"/>
    <col min="235" max="235" width="10.5546875" bestFit="1" customWidth="1"/>
    <col min="236" max="236" width="10.6640625" bestFit="1" customWidth="1"/>
    <col min="237" max="237" width="10.77734375" bestFit="1" customWidth="1"/>
    <col min="238" max="238" width="10.6640625" bestFit="1" customWidth="1"/>
    <col min="239" max="239" width="10.77734375" bestFit="1" customWidth="1"/>
    <col min="240" max="240" width="10.6640625" bestFit="1" customWidth="1"/>
    <col min="241" max="241" width="8" bestFit="1" customWidth="1"/>
    <col min="242" max="242" width="10.6640625" bestFit="1" customWidth="1"/>
    <col min="243" max="243" width="8" bestFit="1" customWidth="1"/>
    <col min="244" max="244" width="10.6640625" bestFit="1" customWidth="1"/>
    <col min="245" max="245" width="8" bestFit="1" customWidth="1"/>
    <col min="246" max="246" width="10.6640625" bestFit="1" customWidth="1"/>
    <col min="247" max="247" width="8" bestFit="1" customWidth="1"/>
    <col min="248" max="248" width="10.6640625" bestFit="1" customWidth="1"/>
    <col min="249" max="249" width="8" bestFit="1" customWidth="1"/>
    <col min="250" max="250" width="10.6640625" bestFit="1" customWidth="1"/>
    <col min="251" max="251" width="8" bestFit="1" customWidth="1"/>
    <col min="252" max="252" width="10.6640625" bestFit="1" customWidth="1"/>
    <col min="253" max="253" width="8" bestFit="1" customWidth="1"/>
    <col min="254" max="254" width="10.6640625" bestFit="1" customWidth="1"/>
    <col min="255" max="255" width="10.21875" bestFit="1" customWidth="1"/>
    <col min="256" max="256" width="10.6640625" bestFit="1" customWidth="1"/>
    <col min="257" max="257" width="8" bestFit="1" customWidth="1"/>
    <col min="258" max="258" width="10.6640625" bestFit="1" customWidth="1"/>
    <col min="259" max="259" width="8" bestFit="1" customWidth="1"/>
    <col min="260" max="260" width="10.6640625" bestFit="1" customWidth="1"/>
    <col min="261" max="261" width="8" bestFit="1" customWidth="1"/>
    <col min="262" max="262" width="10.6640625" bestFit="1" customWidth="1"/>
    <col min="263" max="263" width="8" bestFit="1" customWidth="1"/>
    <col min="264" max="264" width="10.6640625" bestFit="1" customWidth="1"/>
    <col min="265" max="265" width="8" bestFit="1" customWidth="1"/>
    <col min="266" max="266" width="10.6640625" bestFit="1" customWidth="1"/>
    <col min="267" max="267" width="8" bestFit="1" customWidth="1"/>
    <col min="268" max="268" width="10.6640625" bestFit="1" customWidth="1"/>
    <col min="269" max="269" width="8" bestFit="1" customWidth="1"/>
    <col min="270" max="270" width="10.6640625" bestFit="1" customWidth="1"/>
    <col min="271" max="271" width="8.21875" bestFit="1" customWidth="1"/>
    <col min="272" max="272" width="10.6640625" bestFit="1" customWidth="1"/>
    <col min="273" max="273" width="10.77734375" bestFit="1" customWidth="1"/>
    <col min="274" max="274" width="10.6640625" bestFit="1" customWidth="1"/>
    <col min="275" max="275" width="10.5546875" bestFit="1" customWidth="1"/>
    <col min="276" max="276" width="10.6640625" bestFit="1" customWidth="1"/>
    <col min="277" max="277" width="8" bestFit="1" customWidth="1"/>
    <col min="278" max="278" width="10.6640625" bestFit="1" customWidth="1"/>
    <col min="279" max="279" width="8" bestFit="1" customWidth="1"/>
    <col min="280" max="280" width="10.6640625" bestFit="1" customWidth="1"/>
    <col min="281" max="281" width="10.5546875" bestFit="1" customWidth="1"/>
    <col min="282" max="282" width="10.6640625" bestFit="1" customWidth="1"/>
    <col min="283" max="283" width="8" bestFit="1" customWidth="1"/>
    <col min="284" max="284" width="10.6640625" bestFit="1" customWidth="1"/>
    <col min="285" max="285" width="8" bestFit="1" customWidth="1"/>
    <col min="286" max="286" width="10.6640625" bestFit="1" customWidth="1"/>
    <col min="287" max="287" width="8" bestFit="1" customWidth="1"/>
    <col min="288" max="288" width="10.6640625" bestFit="1" customWidth="1"/>
    <col min="289" max="289" width="8" bestFit="1" customWidth="1"/>
    <col min="290" max="290" width="10.6640625" bestFit="1" customWidth="1"/>
    <col min="291" max="291" width="8" bestFit="1" customWidth="1"/>
    <col min="292" max="292" width="10.6640625" bestFit="1" customWidth="1"/>
    <col min="293" max="293" width="8" bestFit="1" customWidth="1"/>
    <col min="294" max="294" width="10.6640625" bestFit="1" customWidth="1"/>
    <col min="295" max="295" width="8" bestFit="1" customWidth="1"/>
    <col min="296" max="296" width="10.6640625" bestFit="1" customWidth="1"/>
    <col min="297" max="297" width="8" bestFit="1" customWidth="1"/>
    <col min="298" max="298" width="10.6640625" bestFit="1" customWidth="1"/>
    <col min="299" max="299" width="8" bestFit="1" customWidth="1"/>
    <col min="300" max="300" width="10.6640625" bestFit="1" customWidth="1"/>
    <col min="301" max="301" width="10.77734375" bestFit="1" customWidth="1"/>
    <col min="302" max="302" width="10.6640625" bestFit="1" customWidth="1"/>
    <col min="303" max="303" width="10.77734375" bestFit="1" customWidth="1"/>
    <col min="304" max="304" width="10.6640625" bestFit="1" customWidth="1"/>
    <col min="305" max="305" width="10.21875" bestFit="1" customWidth="1"/>
    <col min="306" max="306" width="10.6640625" bestFit="1" customWidth="1"/>
    <col min="307" max="307" width="10.5546875" bestFit="1" customWidth="1"/>
    <col min="308" max="308" width="10.6640625" bestFit="1" customWidth="1"/>
    <col min="309" max="309" width="8" bestFit="1" customWidth="1"/>
    <col min="310" max="310" width="10.6640625" bestFit="1" customWidth="1"/>
    <col min="311" max="311" width="8.21875" bestFit="1" customWidth="1"/>
    <col min="312" max="312" width="10.6640625" bestFit="1" customWidth="1"/>
    <col min="313" max="313" width="8" bestFit="1" customWidth="1"/>
    <col min="314" max="314" width="10.6640625" bestFit="1" customWidth="1"/>
    <col min="315" max="315" width="8.21875" bestFit="1" customWidth="1"/>
    <col min="316" max="316" width="10.6640625" bestFit="1" customWidth="1"/>
    <col min="317" max="317" width="8" bestFit="1" customWidth="1"/>
    <col min="318" max="318" width="10.6640625" bestFit="1" customWidth="1"/>
    <col min="319" max="319" width="8" bestFit="1" customWidth="1"/>
    <col min="320" max="320" width="10.6640625" bestFit="1" customWidth="1"/>
    <col min="321" max="321" width="10.21875" bestFit="1" customWidth="1"/>
    <col min="322" max="322" width="10.6640625" bestFit="1" customWidth="1"/>
    <col min="323" max="323" width="10.5546875" bestFit="1" customWidth="1"/>
    <col min="324" max="324" width="10.6640625" bestFit="1" customWidth="1"/>
    <col min="325" max="325" width="10.21875" bestFit="1" customWidth="1"/>
    <col min="326" max="326" width="10.6640625" bestFit="1" customWidth="1"/>
    <col min="327" max="327" width="8" bestFit="1" customWidth="1"/>
    <col min="328" max="328" width="10.6640625" bestFit="1" customWidth="1"/>
    <col min="329" max="329" width="8" bestFit="1" customWidth="1"/>
    <col min="330" max="330" width="10.6640625" bestFit="1" customWidth="1"/>
    <col min="331" max="331" width="10.21875" bestFit="1" customWidth="1"/>
    <col min="332" max="332" width="10.6640625" bestFit="1" customWidth="1"/>
    <col min="333" max="333" width="8" bestFit="1" customWidth="1"/>
    <col min="334" max="334" width="10.6640625" bestFit="1" customWidth="1"/>
    <col min="335" max="335" width="8.21875" bestFit="1" customWidth="1"/>
    <col min="336" max="336" width="10.6640625" bestFit="1" customWidth="1"/>
    <col min="337" max="337" width="10.77734375" bestFit="1" customWidth="1"/>
    <col min="338" max="338" width="10.6640625" bestFit="1" customWidth="1"/>
    <col min="339" max="339" width="8.21875" bestFit="1" customWidth="1"/>
    <col min="340" max="340" width="10.6640625" bestFit="1" customWidth="1"/>
    <col min="341" max="341" width="8.21875" bestFit="1" customWidth="1"/>
    <col min="342" max="342" width="10.6640625" bestFit="1" customWidth="1"/>
    <col min="343" max="343" width="10.21875" bestFit="1" customWidth="1"/>
    <col min="344" max="344" width="10.6640625" bestFit="1" customWidth="1"/>
    <col min="345" max="345" width="10.5546875" bestFit="1" customWidth="1"/>
    <col min="346" max="346" width="10.6640625" bestFit="1" customWidth="1"/>
    <col min="347" max="347" width="10.77734375" bestFit="1" customWidth="1"/>
    <col min="348" max="348" width="10.6640625" bestFit="1" customWidth="1"/>
    <col min="349" max="349" width="8.21875" bestFit="1" customWidth="1"/>
    <col min="350" max="350" width="10.6640625" bestFit="1" customWidth="1"/>
    <col min="351" max="351" width="8" bestFit="1" customWidth="1"/>
    <col min="352" max="352" width="10.6640625" bestFit="1" customWidth="1"/>
    <col min="353" max="353" width="8" bestFit="1" customWidth="1"/>
    <col min="354" max="354" width="10.6640625" bestFit="1" customWidth="1"/>
    <col min="355" max="355" width="10.77734375" bestFit="1" customWidth="1"/>
    <col min="356" max="356" width="10.6640625" bestFit="1" customWidth="1"/>
    <col min="357" max="357" width="10.21875" bestFit="1" customWidth="1"/>
    <col min="358" max="358" width="10.6640625" bestFit="1" customWidth="1"/>
    <col min="359" max="359" width="10.5546875" bestFit="1" customWidth="1"/>
    <col min="360" max="360" width="10.6640625" bestFit="1" customWidth="1"/>
    <col min="361" max="361" width="8" bestFit="1" customWidth="1"/>
    <col min="362" max="362" width="10.6640625" bestFit="1" customWidth="1"/>
    <col min="363" max="363" width="10.5546875" bestFit="1" customWidth="1"/>
    <col min="364" max="364" width="10.6640625" bestFit="1" customWidth="1"/>
    <col min="365" max="365" width="8" bestFit="1" customWidth="1"/>
    <col min="366" max="366" width="10.6640625" bestFit="1" customWidth="1"/>
    <col min="367" max="367" width="8.21875" bestFit="1" customWidth="1"/>
    <col min="368" max="368" width="10.6640625" bestFit="1" customWidth="1"/>
    <col min="369" max="369" width="8" bestFit="1" customWidth="1"/>
    <col min="370" max="370" width="10.6640625" bestFit="1" customWidth="1"/>
    <col min="371" max="371" width="10.77734375" bestFit="1" customWidth="1"/>
    <col min="372" max="372" width="10.6640625" bestFit="1" customWidth="1"/>
    <col min="373" max="373" width="8" bestFit="1" customWidth="1"/>
    <col min="374" max="374" width="10.6640625" bestFit="1" customWidth="1"/>
    <col min="375" max="375" width="10.5546875" bestFit="1" customWidth="1"/>
    <col min="376" max="376" width="10.6640625" bestFit="1" customWidth="1"/>
    <col min="377" max="377" width="8" bestFit="1" customWidth="1"/>
    <col min="378" max="378" width="10.6640625" bestFit="1" customWidth="1"/>
    <col min="379" max="379" width="8" bestFit="1" customWidth="1"/>
    <col min="380" max="380" width="10.6640625" bestFit="1" customWidth="1"/>
    <col min="381" max="381" width="8" bestFit="1" customWidth="1"/>
    <col min="382" max="382" width="10.6640625" bestFit="1" customWidth="1"/>
    <col min="383" max="383" width="10.5546875" bestFit="1" customWidth="1"/>
    <col min="384" max="384" width="10.6640625" bestFit="1" customWidth="1"/>
    <col min="385" max="385" width="8" bestFit="1" customWidth="1"/>
    <col min="386" max="386" width="10.6640625" bestFit="1" customWidth="1"/>
    <col min="387" max="387" width="8" bestFit="1" customWidth="1"/>
    <col min="388" max="388" width="10.6640625" bestFit="1" customWidth="1"/>
    <col min="389" max="389" width="8" bestFit="1" customWidth="1"/>
    <col min="390" max="390" width="10.6640625" bestFit="1" customWidth="1"/>
    <col min="391" max="391" width="8" bestFit="1" customWidth="1"/>
    <col min="392" max="392" width="10.6640625" bestFit="1" customWidth="1"/>
    <col min="393" max="393" width="8" bestFit="1" customWidth="1"/>
    <col min="394" max="394" width="10.6640625" bestFit="1" customWidth="1"/>
    <col min="395" max="395" width="8" bestFit="1" customWidth="1"/>
    <col min="396" max="396" width="10.6640625" bestFit="1" customWidth="1"/>
    <col min="397" max="397" width="10.77734375" bestFit="1" customWidth="1"/>
    <col min="398" max="398" width="10.6640625" bestFit="1" customWidth="1"/>
    <col min="399" max="399" width="10.77734375" bestFit="1" customWidth="1"/>
    <col min="400" max="400" width="10.6640625" bestFit="1" customWidth="1"/>
    <col min="401" max="401" width="8" bestFit="1" customWidth="1"/>
    <col min="402" max="402" width="10.6640625" bestFit="1" customWidth="1"/>
    <col min="403" max="403" width="10.77734375" bestFit="1" customWidth="1"/>
    <col min="404" max="404" width="10.6640625" bestFit="1" customWidth="1"/>
    <col min="405" max="405" width="8" bestFit="1" customWidth="1"/>
    <col min="406" max="406" width="10.6640625" bestFit="1" customWidth="1"/>
    <col min="407" max="407" width="8.21875" bestFit="1" customWidth="1"/>
    <col min="408" max="408" width="10.6640625" bestFit="1" customWidth="1"/>
    <col min="409" max="409" width="8" bestFit="1" customWidth="1"/>
    <col min="410" max="410" width="10.6640625" bestFit="1" customWidth="1"/>
    <col min="411" max="411" width="10.21875" bestFit="1" customWidth="1"/>
    <col min="412" max="412" width="10.6640625" bestFit="1" customWidth="1"/>
    <col min="413" max="413" width="8.21875" bestFit="1" customWidth="1"/>
    <col min="414" max="414" width="10.6640625" bestFit="1" customWidth="1"/>
    <col min="415" max="415" width="8" bestFit="1" customWidth="1"/>
    <col min="416" max="416" width="10.6640625" bestFit="1" customWidth="1"/>
    <col min="417" max="417" width="8" bestFit="1" customWidth="1"/>
    <col min="418" max="418" width="10.6640625" bestFit="1" customWidth="1"/>
    <col min="419" max="419" width="8" bestFit="1" customWidth="1"/>
    <col min="420" max="420" width="10.6640625" bestFit="1" customWidth="1"/>
    <col min="421" max="421" width="10.21875" bestFit="1" customWidth="1"/>
    <col min="422" max="422" width="10.6640625" bestFit="1" customWidth="1"/>
    <col min="423" max="423" width="8" bestFit="1" customWidth="1"/>
    <col min="424" max="424" width="10.6640625" bestFit="1" customWidth="1"/>
    <col min="425" max="425" width="8.21875" bestFit="1" customWidth="1"/>
    <col min="426" max="426" width="10.6640625" bestFit="1" customWidth="1"/>
    <col min="427" max="427" width="8" bestFit="1" customWidth="1"/>
    <col min="428" max="428" width="10.6640625" bestFit="1" customWidth="1"/>
    <col min="429" max="429" width="8.21875" bestFit="1" customWidth="1"/>
    <col min="430" max="430" width="10.6640625" bestFit="1" customWidth="1"/>
    <col min="431" max="431" width="8" bestFit="1" customWidth="1"/>
    <col min="432" max="432" width="10.6640625" bestFit="1" customWidth="1"/>
    <col min="433" max="433" width="10.21875" bestFit="1" customWidth="1"/>
    <col min="434" max="434" width="10.6640625" bestFit="1" customWidth="1"/>
    <col min="435" max="435" width="8" bestFit="1" customWidth="1"/>
    <col min="436" max="436" width="10.6640625" bestFit="1" customWidth="1"/>
    <col min="437" max="437" width="8" bestFit="1" customWidth="1"/>
    <col min="438" max="438" width="10.6640625" bestFit="1" customWidth="1"/>
    <col min="439" max="439" width="8" bestFit="1" customWidth="1"/>
    <col min="440" max="440" width="10.6640625" bestFit="1" customWidth="1"/>
    <col min="441" max="441" width="10.5546875" bestFit="1" customWidth="1"/>
    <col min="442" max="442" width="10.6640625" bestFit="1" customWidth="1"/>
    <col min="443" max="443" width="8" bestFit="1" customWidth="1"/>
    <col min="444" max="444" width="10.6640625" bestFit="1" customWidth="1"/>
    <col min="445" max="445" width="8" bestFit="1" customWidth="1"/>
    <col min="446" max="446" width="10.6640625" bestFit="1" customWidth="1"/>
    <col min="447" max="447" width="10.21875" bestFit="1" customWidth="1"/>
    <col min="448" max="448" width="10.6640625" bestFit="1" customWidth="1"/>
    <col min="449" max="449" width="10.5546875" bestFit="1" customWidth="1"/>
    <col min="450" max="450" width="10.6640625" bestFit="1" customWidth="1"/>
    <col min="451" max="451" width="8" bestFit="1" customWidth="1"/>
    <col min="452" max="452" width="10.6640625" bestFit="1" customWidth="1"/>
    <col min="453" max="453" width="8" bestFit="1" customWidth="1"/>
    <col min="454" max="454" width="10.6640625" bestFit="1" customWidth="1"/>
    <col min="455" max="455" width="10.5546875" bestFit="1" customWidth="1"/>
    <col min="456" max="456" width="10.6640625" bestFit="1" customWidth="1"/>
    <col min="457" max="457" width="9" bestFit="1" customWidth="1"/>
    <col min="458" max="458" width="11.6640625" bestFit="1" customWidth="1"/>
    <col min="459" max="459" width="9" bestFit="1" customWidth="1"/>
    <col min="460" max="460" width="11.6640625" bestFit="1" customWidth="1"/>
    <col min="461" max="461" width="9" bestFit="1" customWidth="1"/>
    <col min="462" max="462" width="11.6640625" bestFit="1" customWidth="1"/>
    <col min="463" max="463" width="10.5546875" bestFit="1" customWidth="1"/>
    <col min="464" max="464" width="11.6640625" bestFit="1" customWidth="1"/>
    <col min="465" max="465" width="9" bestFit="1" customWidth="1"/>
    <col min="466" max="466" width="11.6640625" bestFit="1" customWidth="1"/>
    <col min="467" max="467" width="9" bestFit="1" customWidth="1"/>
    <col min="468" max="468" width="11.6640625" bestFit="1" customWidth="1"/>
    <col min="469" max="469" width="9" bestFit="1" customWidth="1"/>
    <col min="470" max="470" width="11.6640625" bestFit="1" customWidth="1"/>
    <col min="471" max="471" width="9" bestFit="1" customWidth="1"/>
    <col min="472" max="472" width="11.6640625" bestFit="1" customWidth="1"/>
    <col min="473" max="473" width="9" bestFit="1" customWidth="1"/>
    <col min="474" max="474" width="11.6640625" bestFit="1" customWidth="1"/>
    <col min="475" max="475" width="9" bestFit="1" customWidth="1"/>
    <col min="476" max="476" width="11.6640625" bestFit="1" customWidth="1"/>
    <col min="477" max="477" width="9" bestFit="1" customWidth="1"/>
    <col min="478" max="478" width="11.6640625" bestFit="1" customWidth="1"/>
    <col min="479" max="479" width="9" bestFit="1" customWidth="1"/>
    <col min="480" max="480" width="11.6640625" bestFit="1" customWidth="1"/>
    <col min="481" max="481" width="10.5546875" bestFit="1" customWidth="1"/>
    <col min="482" max="482" width="11.6640625" bestFit="1" customWidth="1"/>
    <col min="483" max="483" width="9" bestFit="1" customWidth="1"/>
    <col min="484" max="484" width="11.6640625" bestFit="1" customWidth="1"/>
    <col min="485" max="485" width="10.5546875" bestFit="1" customWidth="1"/>
    <col min="486" max="486" width="11.6640625" bestFit="1" customWidth="1"/>
    <col min="487" max="487" width="9" bestFit="1" customWidth="1"/>
    <col min="488" max="488" width="11.6640625" bestFit="1" customWidth="1"/>
    <col min="489" max="489" width="9" bestFit="1" customWidth="1"/>
    <col min="490" max="490" width="11.6640625" bestFit="1" customWidth="1"/>
    <col min="491" max="491" width="9" bestFit="1" customWidth="1"/>
    <col min="492" max="492" width="11.6640625" bestFit="1" customWidth="1"/>
    <col min="493" max="493" width="9" bestFit="1" customWidth="1"/>
    <col min="494" max="494" width="11.6640625" bestFit="1" customWidth="1"/>
    <col min="495" max="495" width="9" bestFit="1" customWidth="1"/>
    <col min="496" max="496" width="11.6640625" bestFit="1" customWidth="1"/>
    <col min="497" max="497" width="10.5546875" bestFit="1" customWidth="1"/>
    <col min="498" max="498" width="11.6640625" bestFit="1" customWidth="1"/>
    <col min="499" max="499" width="9" bestFit="1" customWidth="1"/>
    <col min="500" max="500" width="11.6640625" bestFit="1" customWidth="1"/>
    <col min="501" max="501" width="10.5546875" bestFit="1" customWidth="1"/>
    <col min="502" max="502" width="11.6640625" bestFit="1" customWidth="1"/>
    <col min="503" max="503" width="9" bestFit="1" customWidth="1"/>
    <col min="504" max="504" width="11.6640625" bestFit="1" customWidth="1"/>
    <col min="505" max="505" width="9" bestFit="1" customWidth="1"/>
    <col min="506" max="506" width="11.6640625" bestFit="1" customWidth="1"/>
    <col min="507" max="507" width="9" bestFit="1" customWidth="1"/>
    <col min="508" max="508" width="11.6640625" bestFit="1" customWidth="1"/>
    <col min="509" max="509" width="10.5546875" bestFit="1" customWidth="1"/>
    <col min="510" max="510" width="11.6640625" bestFit="1" customWidth="1"/>
    <col min="511" max="511" width="9" bestFit="1" customWidth="1"/>
    <col min="512" max="512" width="11.6640625" bestFit="1" customWidth="1"/>
    <col min="513" max="513" width="10.5546875" bestFit="1" customWidth="1"/>
    <col min="514" max="514" width="11.6640625" bestFit="1" customWidth="1"/>
    <col min="515" max="515" width="10.21875" bestFit="1" customWidth="1"/>
    <col min="516" max="516" width="11.6640625" bestFit="1" customWidth="1"/>
    <col min="517" max="517" width="10.21875" bestFit="1" customWidth="1"/>
    <col min="518" max="518" width="11.6640625" bestFit="1" customWidth="1"/>
    <col min="519" max="519" width="9" bestFit="1" customWidth="1"/>
    <col min="520" max="520" width="11.6640625" bestFit="1" customWidth="1"/>
    <col min="521" max="521" width="10.5546875" bestFit="1" customWidth="1"/>
    <col min="522" max="522" width="11.6640625" bestFit="1" customWidth="1"/>
    <col min="523" max="523" width="9" bestFit="1" customWidth="1"/>
    <col min="524" max="524" width="11.6640625" bestFit="1" customWidth="1"/>
    <col min="525" max="525" width="10.77734375" bestFit="1" customWidth="1"/>
    <col min="526" max="526" width="11.6640625" bestFit="1" customWidth="1"/>
    <col min="527" max="527" width="9" bestFit="1" customWidth="1"/>
    <col min="528" max="528" width="11.6640625" bestFit="1" customWidth="1"/>
    <col min="529" max="529" width="9" bestFit="1" customWidth="1"/>
    <col min="530" max="530" width="11.6640625" bestFit="1" customWidth="1"/>
    <col min="531" max="531" width="9" bestFit="1" customWidth="1"/>
    <col min="532" max="532" width="11.6640625" bestFit="1" customWidth="1"/>
    <col min="533" max="533" width="9" bestFit="1" customWidth="1"/>
    <col min="534" max="534" width="11.6640625" bestFit="1" customWidth="1"/>
    <col min="535" max="535" width="9" bestFit="1" customWidth="1"/>
    <col min="536" max="536" width="11.6640625" bestFit="1" customWidth="1"/>
    <col min="537" max="537" width="9" bestFit="1" customWidth="1"/>
    <col min="538" max="538" width="11.6640625" bestFit="1" customWidth="1"/>
    <col min="539" max="539" width="9" bestFit="1" customWidth="1"/>
    <col min="540" max="540" width="11.6640625" bestFit="1" customWidth="1"/>
    <col min="541" max="541" width="9" bestFit="1" customWidth="1"/>
    <col min="542" max="542" width="11.6640625" bestFit="1" customWidth="1"/>
    <col min="543" max="543" width="9" bestFit="1" customWidth="1"/>
    <col min="544" max="544" width="11.6640625" bestFit="1" customWidth="1"/>
    <col min="545" max="545" width="9" bestFit="1" customWidth="1"/>
    <col min="546" max="546" width="11.6640625" bestFit="1" customWidth="1"/>
    <col min="547" max="547" width="10.5546875" bestFit="1" customWidth="1"/>
    <col min="548" max="548" width="11.6640625" bestFit="1" customWidth="1"/>
    <col min="549" max="549" width="9" bestFit="1" customWidth="1"/>
    <col min="550" max="550" width="11.6640625" bestFit="1" customWidth="1"/>
    <col min="551" max="551" width="9" bestFit="1" customWidth="1"/>
    <col min="552" max="552" width="11.6640625" bestFit="1" customWidth="1"/>
    <col min="553" max="553" width="10.5546875" bestFit="1" customWidth="1"/>
    <col min="554" max="554" width="11.6640625" bestFit="1" customWidth="1"/>
    <col min="555" max="555" width="9" bestFit="1" customWidth="1"/>
    <col min="556" max="556" width="11.6640625" bestFit="1" customWidth="1"/>
    <col min="557" max="557" width="10.21875" bestFit="1" customWidth="1"/>
    <col min="558" max="558" width="11.6640625" bestFit="1" customWidth="1"/>
    <col min="559" max="559" width="9" bestFit="1" customWidth="1"/>
    <col min="560" max="560" width="11.6640625" bestFit="1" customWidth="1"/>
    <col min="561" max="561" width="10.5546875" bestFit="1" customWidth="1"/>
    <col min="562" max="562" width="11.6640625" bestFit="1" customWidth="1"/>
    <col min="563" max="563" width="9" bestFit="1" customWidth="1"/>
    <col min="564" max="564" width="11.6640625" bestFit="1" customWidth="1"/>
    <col min="565" max="565" width="10.21875" bestFit="1" customWidth="1"/>
    <col min="566" max="566" width="11.6640625" bestFit="1" customWidth="1"/>
    <col min="567" max="567" width="9" bestFit="1" customWidth="1"/>
    <col min="568" max="568" width="11.6640625" bestFit="1" customWidth="1"/>
    <col min="569" max="569" width="10.21875" bestFit="1" customWidth="1"/>
    <col min="570" max="570" width="11.6640625" bestFit="1" customWidth="1"/>
    <col min="571" max="571" width="9" bestFit="1" customWidth="1"/>
    <col min="572" max="572" width="11.6640625" bestFit="1" customWidth="1"/>
    <col min="573" max="573" width="9" bestFit="1" customWidth="1"/>
    <col min="574" max="574" width="11.6640625" bestFit="1" customWidth="1"/>
    <col min="575" max="575" width="10.77734375" bestFit="1" customWidth="1"/>
    <col min="576" max="576" width="11.6640625" bestFit="1" customWidth="1"/>
    <col min="577" max="577" width="9" bestFit="1" customWidth="1"/>
    <col min="578" max="578" width="11.6640625" bestFit="1" customWidth="1"/>
    <col min="579" max="579" width="9" bestFit="1" customWidth="1"/>
    <col min="580" max="580" width="11.6640625" bestFit="1" customWidth="1"/>
    <col min="581" max="581" width="10.5546875" bestFit="1" customWidth="1"/>
    <col min="582" max="582" width="11.6640625" bestFit="1" customWidth="1"/>
    <col min="583" max="583" width="9" bestFit="1" customWidth="1"/>
    <col min="584" max="584" width="11.6640625" bestFit="1" customWidth="1"/>
    <col min="585" max="585" width="9" bestFit="1" customWidth="1"/>
    <col min="586" max="586" width="11.6640625" bestFit="1" customWidth="1"/>
    <col min="587" max="587" width="9" bestFit="1" customWidth="1"/>
    <col min="588" max="588" width="11.6640625" bestFit="1" customWidth="1"/>
    <col min="589" max="589" width="9" bestFit="1" customWidth="1"/>
    <col min="590" max="590" width="11.6640625" bestFit="1" customWidth="1"/>
    <col min="591" max="591" width="9" bestFit="1" customWidth="1"/>
    <col min="592" max="592" width="11.6640625" bestFit="1" customWidth="1"/>
    <col min="593" max="593" width="9" bestFit="1" customWidth="1"/>
    <col min="594" max="594" width="11.6640625" bestFit="1" customWidth="1"/>
    <col min="595" max="595" width="10.77734375" bestFit="1" customWidth="1"/>
    <col min="596" max="596" width="11.6640625" bestFit="1" customWidth="1"/>
    <col min="597" max="597" width="10.77734375" bestFit="1" customWidth="1"/>
    <col min="598" max="598" width="11.6640625" bestFit="1" customWidth="1"/>
    <col min="599" max="599" width="10.5546875" bestFit="1" customWidth="1"/>
    <col min="600" max="600" width="11.6640625" bestFit="1" customWidth="1"/>
    <col min="601" max="601" width="9" bestFit="1" customWidth="1"/>
    <col min="602" max="602" width="11.6640625" bestFit="1" customWidth="1"/>
    <col min="603" max="603" width="9" bestFit="1" customWidth="1"/>
    <col min="604" max="604" width="11.6640625" bestFit="1" customWidth="1"/>
    <col min="605" max="605" width="10.77734375" bestFit="1" customWidth="1"/>
    <col min="606" max="606" width="11.6640625" bestFit="1" customWidth="1"/>
    <col min="607" max="607" width="10.21875" bestFit="1" customWidth="1"/>
    <col min="608" max="608" width="11.6640625" bestFit="1" customWidth="1"/>
    <col min="609" max="609" width="9" bestFit="1" customWidth="1"/>
    <col min="610" max="610" width="11.6640625" bestFit="1" customWidth="1"/>
    <col min="611" max="611" width="10.77734375" bestFit="1" customWidth="1"/>
    <col min="612" max="612" width="11.6640625" bestFit="1" customWidth="1"/>
    <col min="613" max="613" width="9" bestFit="1" customWidth="1"/>
    <col min="614" max="614" width="11.6640625" bestFit="1" customWidth="1"/>
    <col min="615" max="615" width="9" bestFit="1" customWidth="1"/>
    <col min="616" max="616" width="11.6640625" bestFit="1" customWidth="1"/>
    <col min="617" max="617" width="9" bestFit="1" customWidth="1"/>
    <col min="618" max="618" width="11.6640625" bestFit="1" customWidth="1"/>
    <col min="619" max="619" width="9" bestFit="1" customWidth="1"/>
    <col min="620" max="620" width="11.6640625" bestFit="1" customWidth="1"/>
    <col min="621" max="621" width="9" bestFit="1" customWidth="1"/>
    <col min="622" max="622" width="11.6640625" bestFit="1" customWidth="1"/>
    <col min="623" max="623" width="9" bestFit="1" customWidth="1"/>
    <col min="624" max="624" width="11.6640625" bestFit="1" customWidth="1"/>
    <col min="625" max="625" width="9" bestFit="1" customWidth="1"/>
    <col min="626" max="626" width="11.6640625" bestFit="1" customWidth="1"/>
    <col min="627" max="627" width="10.21875" bestFit="1" customWidth="1"/>
    <col min="628" max="628" width="11.6640625" bestFit="1" customWidth="1"/>
    <col min="629" max="629" width="9" bestFit="1" customWidth="1"/>
    <col min="630" max="630" width="11.6640625" bestFit="1" customWidth="1"/>
    <col min="631" max="631" width="9" bestFit="1" customWidth="1"/>
    <col min="632" max="632" width="11.6640625" bestFit="1" customWidth="1"/>
    <col min="633" max="633" width="9" bestFit="1" customWidth="1"/>
    <col min="634" max="634" width="11.6640625" bestFit="1" customWidth="1"/>
    <col min="635" max="635" width="9" bestFit="1" customWidth="1"/>
    <col min="636" max="636" width="11.6640625" bestFit="1" customWidth="1"/>
    <col min="637" max="637" width="9" bestFit="1" customWidth="1"/>
    <col min="638" max="638" width="11.6640625" bestFit="1" customWidth="1"/>
    <col min="639" max="639" width="9" bestFit="1" customWidth="1"/>
    <col min="640" max="640" width="11.6640625" bestFit="1" customWidth="1"/>
    <col min="641" max="641" width="9" bestFit="1" customWidth="1"/>
    <col min="642" max="642" width="11.6640625" bestFit="1" customWidth="1"/>
    <col min="643" max="643" width="9" bestFit="1" customWidth="1"/>
    <col min="644" max="644" width="11.6640625" bestFit="1" customWidth="1"/>
    <col min="645" max="645" width="10.21875" bestFit="1" customWidth="1"/>
    <col min="646" max="646" width="11.6640625" bestFit="1" customWidth="1"/>
    <col min="647" max="647" width="10.21875" bestFit="1" customWidth="1"/>
    <col min="648" max="648" width="11.6640625" bestFit="1" customWidth="1"/>
    <col min="649" max="649" width="10.5546875" bestFit="1" customWidth="1"/>
    <col min="650" max="650" width="11.6640625" bestFit="1" customWidth="1"/>
    <col min="651" max="651" width="9" bestFit="1" customWidth="1"/>
    <col min="652" max="652" width="11.6640625" bestFit="1" customWidth="1"/>
    <col min="653" max="653" width="9" bestFit="1" customWidth="1"/>
    <col min="654" max="654" width="11.6640625" bestFit="1" customWidth="1"/>
    <col min="655" max="655" width="9" bestFit="1" customWidth="1"/>
    <col min="656" max="656" width="11.6640625" bestFit="1" customWidth="1"/>
    <col min="657" max="657" width="9" bestFit="1" customWidth="1"/>
    <col min="658" max="658" width="11.6640625" bestFit="1" customWidth="1"/>
    <col min="659" max="659" width="9" bestFit="1" customWidth="1"/>
    <col min="660" max="660" width="11.6640625" bestFit="1" customWidth="1"/>
    <col min="661" max="661" width="9" bestFit="1" customWidth="1"/>
    <col min="662" max="662" width="11.6640625" bestFit="1" customWidth="1"/>
    <col min="663" max="663" width="9" bestFit="1" customWidth="1"/>
    <col min="664" max="664" width="11.6640625" bestFit="1" customWidth="1"/>
    <col min="665" max="665" width="9" bestFit="1" customWidth="1"/>
    <col min="666" max="666" width="11.6640625" bestFit="1" customWidth="1"/>
    <col min="667" max="667" width="9" bestFit="1" customWidth="1"/>
    <col min="668" max="668" width="11.6640625" bestFit="1" customWidth="1"/>
    <col min="669" max="669" width="9" bestFit="1" customWidth="1"/>
    <col min="670" max="670" width="11.6640625" bestFit="1" customWidth="1"/>
    <col min="671" max="671" width="9" bestFit="1" customWidth="1"/>
    <col min="672" max="672" width="11.6640625" bestFit="1" customWidth="1"/>
    <col min="673" max="673" width="10.77734375" bestFit="1" customWidth="1"/>
    <col min="674" max="674" width="11.6640625" bestFit="1" customWidth="1"/>
    <col min="675" max="675" width="10.21875" bestFit="1" customWidth="1"/>
    <col min="676" max="676" width="11.6640625" bestFit="1" customWidth="1"/>
    <col min="677" max="677" width="10.77734375" bestFit="1" customWidth="1"/>
    <col min="678" max="678" width="11.6640625" bestFit="1" customWidth="1"/>
    <col min="679" max="679" width="9" bestFit="1" customWidth="1"/>
    <col min="680" max="680" width="11.6640625" bestFit="1" customWidth="1"/>
    <col min="681" max="681" width="10.77734375" bestFit="1" customWidth="1"/>
    <col min="682" max="682" width="11.6640625" bestFit="1" customWidth="1"/>
    <col min="683" max="683" width="10.77734375" bestFit="1" customWidth="1"/>
    <col min="684" max="684" width="11.6640625" bestFit="1" customWidth="1"/>
    <col min="685" max="685" width="10.21875" bestFit="1" customWidth="1"/>
    <col min="686" max="686" width="11.6640625" bestFit="1" customWidth="1"/>
    <col min="687" max="687" width="10.5546875" bestFit="1" customWidth="1"/>
    <col min="688" max="688" width="11.6640625" bestFit="1" customWidth="1"/>
    <col min="689" max="689" width="10.21875" bestFit="1" customWidth="1"/>
    <col min="690" max="690" width="11.6640625" bestFit="1" customWidth="1"/>
    <col min="691" max="691" width="9" bestFit="1" customWidth="1"/>
    <col min="692" max="692" width="11.6640625" bestFit="1" customWidth="1"/>
    <col min="693" max="693" width="10.21875" bestFit="1" customWidth="1"/>
    <col min="694" max="694" width="11.6640625" bestFit="1" customWidth="1"/>
    <col min="695" max="695" width="9" bestFit="1" customWidth="1"/>
    <col min="696" max="696" width="11.6640625" bestFit="1" customWidth="1"/>
    <col min="697" max="697" width="9" bestFit="1" customWidth="1"/>
    <col min="698" max="698" width="11.6640625" bestFit="1" customWidth="1"/>
    <col min="699" max="699" width="9" bestFit="1" customWidth="1"/>
    <col min="700" max="700" width="11.6640625" bestFit="1" customWidth="1"/>
    <col min="701" max="701" width="9" bestFit="1" customWidth="1"/>
    <col min="702" max="702" width="11.6640625" bestFit="1" customWidth="1"/>
    <col min="703" max="703" width="10.5546875" bestFit="1" customWidth="1"/>
    <col min="704" max="704" width="11.6640625" bestFit="1" customWidth="1"/>
    <col min="705" max="705" width="9" bestFit="1" customWidth="1"/>
    <col min="706" max="706" width="11.6640625" bestFit="1" customWidth="1"/>
    <col min="707" max="707" width="9" bestFit="1" customWidth="1"/>
    <col min="708" max="708" width="11.6640625" bestFit="1" customWidth="1"/>
    <col min="709" max="709" width="9" bestFit="1" customWidth="1"/>
    <col min="710" max="710" width="11.6640625" bestFit="1" customWidth="1"/>
    <col min="711" max="711" width="10.77734375" bestFit="1" customWidth="1"/>
    <col min="712" max="712" width="11.6640625" bestFit="1" customWidth="1"/>
    <col min="713" max="713" width="9" bestFit="1" customWidth="1"/>
    <col min="714" max="714" width="11.6640625" bestFit="1" customWidth="1"/>
    <col min="715" max="715" width="9" bestFit="1" customWidth="1"/>
    <col min="716" max="716" width="11.6640625" bestFit="1" customWidth="1"/>
    <col min="717" max="717" width="9" bestFit="1" customWidth="1"/>
    <col min="718" max="718" width="11.6640625" bestFit="1" customWidth="1"/>
    <col min="719" max="719" width="9" bestFit="1" customWidth="1"/>
    <col min="720" max="720" width="11.6640625" bestFit="1" customWidth="1"/>
    <col min="721" max="721" width="10.21875" bestFit="1" customWidth="1"/>
    <col min="722" max="722" width="11.6640625" bestFit="1" customWidth="1"/>
    <col min="723" max="723" width="9" bestFit="1" customWidth="1"/>
    <col min="724" max="724" width="11.6640625" bestFit="1" customWidth="1"/>
    <col min="725" max="725" width="9" bestFit="1" customWidth="1"/>
    <col min="726" max="726" width="11.6640625" bestFit="1" customWidth="1"/>
    <col min="727" max="727" width="9" bestFit="1" customWidth="1"/>
    <col min="728" max="728" width="11.6640625" bestFit="1" customWidth="1"/>
    <col min="729" max="729" width="9" bestFit="1" customWidth="1"/>
    <col min="730" max="730" width="11.6640625" bestFit="1" customWidth="1"/>
    <col min="731" max="731" width="9" bestFit="1" customWidth="1"/>
    <col min="732" max="732" width="11.6640625" bestFit="1" customWidth="1"/>
    <col min="733" max="733" width="10.77734375" bestFit="1" customWidth="1"/>
    <col min="734" max="734" width="11.6640625" bestFit="1" customWidth="1"/>
    <col min="735" max="735" width="9" bestFit="1" customWidth="1"/>
    <col min="736" max="736" width="11.6640625" bestFit="1" customWidth="1"/>
    <col min="737" max="737" width="10.5546875" bestFit="1" customWidth="1"/>
    <col min="738" max="738" width="11.6640625" bestFit="1" customWidth="1"/>
    <col min="739" max="739" width="9" bestFit="1" customWidth="1"/>
    <col min="740" max="740" width="11.6640625" bestFit="1" customWidth="1"/>
    <col min="741" max="741" width="10.5546875" bestFit="1" customWidth="1"/>
    <col min="742" max="742" width="11.6640625" bestFit="1" customWidth="1"/>
    <col min="743" max="743" width="10.21875" bestFit="1" customWidth="1"/>
    <col min="744" max="744" width="11.6640625" bestFit="1" customWidth="1"/>
    <col min="745" max="745" width="10.5546875" bestFit="1" customWidth="1"/>
    <col min="746" max="746" width="11.6640625" bestFit="1" customWidth="1"/>
    <col min="747" max="747" width="10.77734375" bestFit="1" customWidth="1"/>
    <col min="748" max="748" width="11.6640625" bestFit="1" customWidth="1"/>
    <col min="749" max="749" width="10.5546875" bestFit="1" customWidth="1"/>
    <col min="750" max="750" width="11.6640625" bestFit="1" customWidth="1"/>
    <col min="751" max="751" width="9" bestFit="1" customWidth="1"/>
    <col min="752" max="752" width="11.6640625" bestFit="1" customWidth="1"/>
    <col min="753" max="753" width="9" bestFit="1" customWidth="1"/>
    <col min="754" max="754" width="11.6640625" bestFit="1" customWidth="1"/>
    <col min="755" max="755" width="10.5546875" bestFit="1" customWidth="1"/>
    <col min="756" max="756" width="11.6640625" bestFit="1" customWidth="1"/>
    <col min="757" max="757" width="10.5546875" bestFit="1" customWidth="1"/>
    <col min="758" max="758" width="11.6640625" bestFit="1" customWidth="1"/>
    <col min="759" max="759" width="9" bestFit="1" customWidth="1"/>
    <col min="760" max="760" width="11.6640625" bestFit="1" customWidth="1"/>
    <col min="761" max="761" width="9" bestFit="1" customWidth="1"/>
    <col min="762" max="762" width="11.6640625" bestFit="1" customWidth="1"/>
    <col min="763" max="763" width="10.77734375" bestFit="1" customWidth="1"/>
    <col min="764" max="764" width="11.6640625" bestFit="1" customWidth="1"/>
    <col min="765" max="765" width="10.77734375" bestFit="1" customWidth="1"/>
    <col min="766" max="766" width="11.6640625" bestFit="1" customWidth="1"/>
    <col min="767" max="767" width="9" bestFit="1" customWidth="1"/>
    <col min="768" max="768" width="11.6640625" bestFit="1" customWidth="1"/>
    <col min="769" max="769" width="9" bestFit="1" customWidth="1"/>
    <col min="770" max="770" width="11.6640625" bestFit="1" customWidth="1"/>
    <col min="771" max="771" width="9" bestFit="1" customWidth="1"/>
    <col min="772" max="772" width="11.6640625" bestFit="1" customWidth="1"/>
    <col min="773" max="773" width="10.21875" bestFit="1" customWidth="1"/>
    <col min="774" max="774" width="11.6640625" bestFit="1" customWidth="1"/>
    <col min="775" max="775" width="10.5546875" bestFit="1" customWidth="1"/>
    <col min="776" max="776" width="11.6640625" bestFit="1" customWidth="1"/>
    <col min="777" max="777" width="9" bestFit="1" customWidth="1"/>
    <col min="778" max="778" width="11.6640625" bestFit="1" customWidth="1"/>
    <col min="779" max="779" width="10.77734375" bestFit="1" customWidth="1"/>
    <col min="780" max="780" width="11.6640625" bestFit="1" customWidth="1"/>
    <col min="781" max="781" width="9" bestFit="1" customWidth="1"/>
    <col min="782" max="782" width="11.6640625" bestFit="1" customWidth="1"/>
    <col min="783" max="783" width="10.5546875" bestFit="1" customWidth="1"/>
    <col min="784" max="784" width="11.6640625" bestFit="1" customWidth="1"/>
    <col min="785" max="785" width="9" bestFit="1" customWidth="1"/>
    <col min="786" max="786" width="11.6640625" bestFit="1" customWidth="1"/>
    <col min="787" max="787" width="10.77734375" bestFit="1" customWidth="1"/>
    <col min="788" max="788" width="11.6640625" bestFit="1" customWidth="1"/>
    <col min="789" max="789" width="9" bestFit="1" customWidth="1"/>
    <col min="790" max="790" width="11.6640625" bestFit="1" customWidth="1"/>
    <col min="791" max="791" width="10.21875" bestFit="1" customWidth="1"/>
    <col min="792" max="792" width="11.6640625" bestFit="1" customWidth="1"/>
    <col min="793" max="793" width="10.77734375" bestFit="1" customWidth="1"/>
    <col min="794" max="794" width="11.6640625" bestFit="1" customWidth="1"/>
    <col min="795" max="795" width="9" bestFit="1" customWidth="1"/>
    <col min="796" max="796" width="11.6640625" bestFit="1" customWidth="1"/>
    <col min="797" max="797" width="9" bestFit="1" customWidth="1"/>
    <col min="798" max="798" width="11.6640625" bestFit="1" customWidth="1"/>
    <col min="799" max="799" width="9" bestFit="1" customWidth="1"/>
    <col min="800" max="800" width="11.6640625" bestFit="1" customWidth="1"/>
    <col min="801" max="801" width="10.5546875" bestFit="1" customWidth="1"/>
    <col min="802" max="802" width="11.6640625" bestFit="1" customWidth="1"/>
    <col min="803" max="803" width="9" bestFit="1" customWidth="1"/>
    <col min="804" max="804" width="11.6640625" bestFit="1" customWidth="1"/>
    <col min="805" max="805" width="10.5546875" bestFit="1" customWidth="1"/>
    <col min="806" max="806" width="11.6640625" bestFit="1" customWidth="1"/>
    <col min="807" max="807" width="9" bestFit="1" customWidth="1"/>
    <col min="808" max="808" width="11.6640625" bestFit="1" customWidth="1"/>
    <col min="809" max="809" width="9" bestFit="1" customWidth="1"/>
    <col min="810" max="810" width="11.6640625" bestFit="1" customWidth="1"/>
    <col min="811" max="811" width="9" bestFit="1" customWidth="1"/>
    <col min="812" max="812" width="11.6640625" bestFit="1" customWidth="1"/>
    <col min="813" max="813" width="9" bestFit="1" customWidth="1"/>
    <col min="814" max="814" width="11.6640625" bestFit="1" customWidth="1"/>
    <col min="815" max="815" width="10.5546875" bestFit="1" customWidth="1"/>
    <col min="816" max="816" width="11.6640625" bestFit="1" customWidth="1"/>
    <col min="817" max="817" width="9" bestFit="1" customWidth="1"/>
    <col min="818" max="818" width="11.6640625" bestFit="1" customWidth="1"/>
    <col min="819" max="819" width="9" bestFit="1" customWidth="1"/>
    <col min="820" max="820" width="11.6640625" bestFit="1" customWidth="1"/>
    <col min="821" max="821" width="9" bestFit="1" customWidth="1"/>
    <col min="822" max="822" width="11.6640625" bestFit="1" customWidth="1"/>
    <col min="823" max="823" width="10.77734375" bestFit="1" customWidth="1"/>
    <col min="824" max="824" width="11.6640625" bestFit="1" customWidth="1"/>
    <col min="825" max="825" width="10.5546875" bestFit="1" customWidth="1"/>
    <col min="826" max="826" width="11.6640625" bestFit="1" customWidth="1"/>
    <col min="827" max="827" width="9" bestFit="1" customWidth="1"/>
    <col min="828" max="828" width="11.6640625" bestFit="1" customWidth="1"/>
    <col min="829" max="829" width="9" bestFit="1" customWidth="1"/>
    <col min="830" max="830" width="11.6640625" bestFit="1" customWidth="1"/>
    <col min="831" max="831" width="9" bestFit="1" customWidth="1"/>
    <col min="832" max="832" width="11.6640625" bestFit="1" customWidth="1"/>
    <col min="833" max="833" width="10.5546875" bestFit="1" customWidth="1"/>
    <col min="834" max="834" width="11.6640625" bestFit="1" customWidth="1"/>
    <col min="835" max="835" width="10.21875" bestFit="1" customWidth="1"/>
    <col min="836" max="836" width="11.6640625" bestFit="1" customWidth="1"/>
    <col min="837" max="837" width="9" bestFit="1" customWidth="1"/>
    <col min="838" max="838" width="11.6640625" bestFit="1" customWidth="1"/>
    <col min="839" max="839" width="10.77734375" bestFit="1" customWidth="1"/>
    <col min="840" max="840" width="11.6640625" bestFit="1" customWidth="1"/>
    <col min="841" max="841" width="10.5546875" bestFit="1" customWidth="1"/>
    <col min="842" max="842" width="11.6640625" bestFit="1" customWidth="1"/>
    <col min="843" max="843" width="9" bestFit="1" customWidth="1"/>
    <col min="844" max="844" width="11.6640625" bestFit="1" customWidth="1"/>
    <col min="845" max="845" width="10.77734375" bestFit="1" customWidth="1"/>
    <col min="846" max="846" width="11.6640625" bestFit="1" customWidth="1"/>
    <col min="847" max="847" width="9" bestFit="1" customWidth="1"/>
    <col min="848" max="848" width="11.6640625" bestFit="1" customWidth="1"/>
    <col min="849" max="849" width="10.21875" bestFit="1" customWidth="1"/>
    <col min="850" max="850" width="11.6640625" bestFit="1" customWidth="1"/>
    <col min="851" max="851" width="10.77734375" bestFit="1" customWidth="1"/>
    <col min="852" max="852" width="11.6640625" bestFit="1" customWidth="1"/>
    <col min="853" max="853" width="10.77734375" bestFit="1" customWidth="1"/>
    <col min="854" max="854" width="11.6640625" bestFit="1" customWidth="1"/>
    <col min="855" max="855" width="9" bestFit="1" customWidth="1"/>
    <col min="856" max="856" width="11.6640625" bestFit="1" customWidth="1"/>
    <col min="857" max="857" width="9" bestFit="1" customWidth="1"/>
    <col min="858" max="858" width="11.6640625" bestFit="1" customWidth="1"/>
    <col min="859" max="859" width="9" bestFit="1" customWidth="1"/>
    <col min="860" max="860" width="11.6640625" bestFit="1" customWidth="1"/>
    <col min="861" max="861" width="9" bestFit="1" customWidth="1"/>
    <col min="862" max="862" width="11.6640625" bestFit="1" customWidth="1"/>
    <col min="863" max="863" width="9" bestFit="1" customWidth="1"/>
    <col min="864" max="864" width="11.6640625" bestFit="1" customWidth="1"/>
    <col min="865" max="865" width="9" bestFit="1" customWidth="1"/>
    <col min="866" max="866" width="11.6640625" bestFit="1" customWidth="1"/>
    <col min="867" max="867" width="10.5546875" bestFit="1" customWidth="1"/>
    <col min="868" max="868" width="11.6640625" bestFit="1" customWidth="1"/>
    <col min="869" max="869" width="9" bestFit="1" customWidth="1"/>
    <col min="870" max="870" width="11.6640625" bestFit="1" customWidth="1"/>
    <col min="871" max="871" width="9" bestFit="1" customWidth="1"/>
    <col min="872" max="872" width="11.6640625" bestFit="1" customWidth="1"/>
    <col min="873" max="873" width="9" bestFit="1" customWidth="1"/>
    <col min="874" max="874" width="11.6640625" bestFit="1" customWidth="1"/>
    <col min="875" max="875" width="10.77734375" bestFit="1" customWidth="1"/>
    <col min="876" max="876" width="11.6640625" bestFit="1" customWidth="1"/>
    <col min="877" max="877" width="9" bestFit="1" customWidth="1"/>
    <col min="878" max="878" width="11.6640625" bestFit="1" customWidth="1"/>
    <col min="879" max="879" width="9" bestFit="1" customWidth="1"/>
    <col min="880" max="880" width="11.6640625" bestFit="1" customWidth="1"/>
    <col min="881" max="881" width="9" bestFit="1" customWidth="1"/>
    <col min="882" max="882" width="11.6640625" bestFit="1" customWidth="1"/>
    <col min="883" max="883" width="9" bestFit="1" customWidth="1"/>
    <col min="884" max="884" width="11.6640625" bestFit="1" customWidth="1"/>
    <col min="885" max="885" width="9" bestFit="1" customWidth="1"/>
    <col min="886" max="886" width="11.6640625" bestFit="1" customWidth="1"/>
    <col min="887" max="887" width="9" bestFit="1" customWidth="1"/>
    <col min="888" max="888" width="11.6640625" bestFit="1" customWidth="1"/>
    <col min="889" max="889" width="10.77734375" bestFit="1" customWidth="1"/>
    <col min="890" max="890" width="11.6640625" bestFit="1" customWidth="1"/>
    <col min="891" max="891" width="9" bestFit="1" customWidth="1"/>
    <col min="892" max="892" width="11.6640625" bestFit="1" customWidth="1"/>
    <col min="893" max="893" width="10.21875" bestFit="1" customWidth="1"/>
    <col min="894" max="894" width="11.6640625" bestFit="1" customWidth="1"/>
    <col min="895" max="895" width="9" bestFit="1" customWidth="1"/>
    <col min="896" max="896" width="11.6640625" bestFit="1" customWidth="1"/>
    <col min="897" max="897" width="10.77734375" bestFit="1" customWidth="1"/>
    <col min="898" max="898" width="11.6640625" bestFit="1" customWidth="1"/>
    <col min="899" max="899" width="9" bestFit="1" customWidth="1"/>
    <col min="900" max="900" width="11.6640625" bestFit="1" customWidth="1"/>
    <col min="901" max="901" width="9" bestFit="1" customWidth="1"/>
    <col min="902" max="902" width="11.6640625" bestFit="1" customWidth="1"/>
    <col min="903" max="903" width="10.77734375" bestFit="1" customWidth="1"/>
    <col min="904" max="904" width="11.6640625" bestFit="1" customWidth="1"/>
    <col min="905" max="905" width="10.77734375" bestFit="1" customWidth="1"/>
    <col min="906" max="906" width="11.6640625" bestFit="1" customWidth="1"/>
    <col min="907" max="907" width="9" bestFit="1" customWidth="1"/>
    <col min="908" max="908" width="11.6640625" bestFit="1" customWidth="1"/>
    <col min="909" max="909" width="10.5546875" bestFit="1" customWidth="1"/>
    <col min="910" max="910" width="11.6640625" bestFit="1" customWidth="1"/>
    <col min="911" max="911" width="9" bestFit="1" customWidth="1"/>
    <col min="912" max="912" width="11.6640625" bestFit="1" customWidth="1"/>
    <col min="913" max="913" width="9" bestFit="1" customWidth="1"/>
    <col min="914" max="914" width="11.6640625" bestFit="1" customWidth="1"/>
    <col min="915" max="915" width="9" bestFit="1" customWidth="1"/>
    <col min="916" max="916" width="11.6640625" bestFit="1" customWidth="1"/>
    <col min="917" max="917" width="9" bestFit="1" customWidth="1"/>
    <col min="918" max="918" width="11.6640625" bestFit="1" customWidth="1"/>
    <col min="919" max="919" width="10.5546875" bestFit="1" customWidth="1"/>
    <col min="920" max="920" width="11.6640625" bestFit="1" customWidth="1"/>
    <col min="921" max="921" width="9" bestFit="1" customWidth="1"/>
    <col min="922" max="922" width="11.6640625" bestFit="1" customWidth="1"/>
    <col min="923" max="923" width="10.77734375" bestFit="1" customWidth="1"/>
    <col min="924" max="924" width="11.6640625" bestFit="1" customWidth="1"/>
    <col min="925" max="925" width="9" bestFit="1" customWidth="1"/>
    <col min="926" max="926" width="11.6640625" bestFit="1" customWidth="1"/>
    <col min="927" max="927" width="10.21875" bestFit="1" customWidth="1"/>
    <col min="928" max="928" width="11.6640625" bestFit="1" customWidth="1"/>
    <col min="929" max="929" width="10.5546875" bestFit="1" customWidth="1"/>
    <col min="930" max="930" width="11.6640625" bestFit="1" customWidth="1"/>
    <col min="931" max="931" width="10.21875" bestFit="1" customWidth="1"/>
    <col min="932" max="932" width="11.6640625" bestFit="1" customWidth="1"/>
    <col min="933" max="933" width="10.21875" bestFit="1" customWidth="1"/>
    <col min="934" max="934" width="11.6640625" bestFit="1" customWidth="1"/>
    <col min="935" max="935" width="10.21875" bestFit="1" customWidth="1"/>
    <col min="936" max="936" width="11.6640625" bestFit="1" customWidth="1"/>
    <col min="937" max="937" width="9" bestFit="1" customWidth="1"/>
    <col min="938" max="938" width="11.6640625" bestFit="1" customWidth="1"/>
    <col min="939" max="939" width="10.77734375" bestFit="1" customWidth="1"/>
    <col min="940" max="940" width="11.6640625" bestFit="1" customWidth="1"/>
    <col min="941" max="941" width="9" bestFit="1" customWidth="1"/>
    <col min="942" max="942" width="11.6640625" bestFit="1" customWidth="1"/>
    <col min="943" max="943" width="10.5546875" bestFit="1" customWidth="1"/>
    <col min="944" max="944" width="11.6640625" bestFit="1" customWidth="1"/>
    <col min="945" max="945" width="9" bestFit="1" customWidth="1"/>
    <col min="946" max="946" width="11.6640625" bestFit="1" customWidth="1"/>
    <col min="947" max="947" width="10.5546875" bestFit="1" customWidth="1"/>
    <col min="948" max="948" width="11.6640625" bestFit="1" customWidth="1"/>
    <col min="949" max="949" width="9" bestFit="1" customWidth="1"/>
    <col min="950" max="950" width="11.6640625" bestFit="1" customWidth="1"/>
    <col min="951" max="951" width="9" bestFit="1" customWidth="1"/>
    <col min="952" max="952" width="11.6640625" bestFit="1" customWidth="1"/>
    <col min="953" max="953" width="10.5546875" bestFit="1" customWidth="1"/>
    <col min="954" max="954" width="11.6640625" bestFit="1" customWidth="1"/>
    <col min="955" max="955" width="9" bestFit="1" customWidth="1"/>
    <col min="956" max="956" width="11.6640625" bestFit="1" customWidth="1"/>
    <col min="957" max="957" width="9" bestFit="1" customWidth="1"/>
    <col min="958" max="958" width="11.6640625" bestFit="1" customWidth="1"/>
    <col min="959" max="959" width="10.5546875" bestFit="1" customWidth="1"/>
    <col min="960" max="960" width="11.6640625" bestFit="1" customWidth="1"/>
    <col min="961" max="961" width="9" bestFit="1" customWidth="1"/>
    <col min="962" max="962" width="11.6640625" bestFit="1" customWidth="1"/>
    <col min="963" max="963" width="10.77734375" bestFit="1" customWidth="1"/>
    <col min="964" max="964" width="11.6640625" bestFit="1" customWidth="1"/>
    <col min="965" max="965" width="9" bestFit="1" customWidth="1"/>
    <col min="966" max="966" width="11.6640625" bestFit="1" customWidth="1"/>
    <col min="967" max="967" width="9" bestFit="1" customWidth="1"/>
    <col min="968" max="968" width="11.6640625" bestFit="1" customWidth="1"/>
    <col min="969" max="969" width="9" bestFit="1" customWidth="1"/>
    <col min="970" max="970" width="11.6640625" bestFit="1" customWidth="1"/>
    <col min="971" max="971" width="10.5546875" bestFit="1" customWidth="1"/>
    <col min="972" max="972" width="11.6640625" bestFit="1" customWidth="1"/>
    <col min="973" max="973" width="10.5546875" bestFit="1" customWidth="1"/>
    <col min="974" max="974" width="11.6640625" bestFit="1" customWidth="1"/>
    <col min="975" max="975" width="9" bestFit="1" customWidth="1"/>
    <col min="976" max="976" width="11.6640625" bestFit="1" customWidth="1"/>
    <col min="977" max="977" width="9" bestFit="1" customWidth="1"/>
    <col min="978" max="978" width="11.6640625" bestFit="1" customWidth="1"/>
    <col min="979" max="979" width="9" bestFit="1" customWidth="1"/>
    <col min="980" max="980" width="11.6640625" bestFit="1" customWidth="1"/>
    <col min="981" max="981" width="10.77734375" bestFit="1" customWidth="1"/>
    <col min="982" max="982" width="11.6640625" bestFit="1" customWidth="1"/>
    <col min="983" max="983" width="10.21875" bestFit="1" customWidth="1"/>
    <col min="984" max="984" width="11.6640625" bestFit="1" customWidth="1"/>
    <col min="985" max="985" width="9" bestFit="1" customWidth="1"/>
    <col min="986" max="986" width="11.6640625" bestFit="1" customWidth="1"/>
    <col min="987" max="987" width="9" bestFit="1" customWidth="1"/>
    <col min="988" max="988" width="11.6640625" bestFit="1" customWidth="1"/>
    <col min="989" max="989" width="9" bestFit="1" customWidth="1"/>
    <col min="990" max="990" width="11.6640625" bestFit="1" customWidth="1"/>
    <col min="991" max="991" width="9" bestFit="1" customWidth="1"/>
    <col min="992" max="992" width="11.6640625" bestFit="1" customWidth="1"/>
    <col min="993" max="993" width="9" bestFit="1" customWidth="1"/>
    <col min="994" max="994" width="11.6640625" bestFit="1" customWidth="1"/>
    <col min="995" max="995" width="10.21875" bestFit="1" customWidth="1"/>
    <col min="996" max="996" width="11.6640625" bestFit="1" customWidth="1"/>
    <col min="997" max="997" width="9" bestFit="1" customWidth="1"/>
    <col min="998" max="998" width="11.6640625" bestFit="1" customWidth="1"/>
    <col min="999" max="999" width="10.5546875" bestFit="1" customWidth="1"/>
    <col min="1000" max="1000" width="11.6640625" bestFit="1" customWidth="1"/>
    <col min="1001" max="1001" width="9" bestFit="1" customWidth="1"/>
    <col min="1002" max="1002" width="11.6640625" bestFit="1" customWidth="1"/>
    <col min="1003" max="1003" width="10.77734375" bestFit="1" customWidth="1"/>
  </cols>
  <sheetData>
    <row r="3" spans="4:7" x14ac:dyDescent="0.3">
      <c r="D3" s="19" t="s">
        <v>42</v>
      </c>
      <c r="E3" s="19" t="s">
        <v>43</v>
      </c>
      <c r="F3" s="19" t="s">
        <v>44</v>
      </c>
      <c r="G3" s="19" t="s">
        <v>36</v>
      </c>
    </row>
    <row r="4" spans="4:7" x14ac:dyDescent="0.3">
      <c r="D4" s="20">
        <f>GETPIVOTDATA("Price",$A$33)</f>
        <v>51327419</v>
      </c>
      <c r="E4" s="21">
        <f>MAX(J35:J45)</f>
        <v>872212</v>
      </c>
      <c r="F4" s="22">
        <f>INDEX($B$35:$B$45,MATCH(MAX($J$35:$J$45),$J$35:$J$234,0))</f>
        <v>560185</v>
      </c>
      <c r="G4" s="20">
        <f>AVERAGE(Inventory_Data!C:C)</f>
        <v>102654.838</v>
      </c>
    </row>
    <row r="33" spans="1:14" x14ac:dyDescent="0.3">
      <c r="A33" s="14" t="s">
        <v>41</v>
      </c>
      <c r="B33" s="14" t="s">
        <v>40</v>
      </c>
    </row>
    <row r="34" spans="1:14" x14ac:dyDescent="0.3">
      <c r="A34" s="14" t="s">
        <v>37</v>
      </c>
      <c r="B34" s="17" t="s">
        <v>10</v>
      </c>
      <c r="C34" t="s">
        <v>45</v>
      </c>
      <c r="D34" t="s">
        <v>26</v>
      </c>
      <c r="E34" t="s">
        <v>7</v>
      </c>
      <c r="F34" t="s">
        <v>13</v>
      </c>
      <c r="G34" t="s">
        <v>19</v>
      </c>
      <c r="H34" t="s">
        <v>27</v>
      </c>
      <c r="I34" t="s">
        <v>22</v>
      </c>
      <c r="J34" t="s">
        <v>34</v>
      </c>
      <c r="K34" t="s">
        <v>38</v>
      </c>
      <c r="L34" t="s">
        <v>39</v>
      </c>
      <c r="M34" s="14" t="s">
        <v>37</v>
      </c>
      <c r="N34" t="s">
        <v>41</v>
      </c>
    </row>
    <row r="35" spans="1:14" x14ac:dyDescent="0.3">
      <c r="A35" s="15" t="s">
        <v>18</v>
      </c>
      <c r="B35" s="17">
        <v>560185</v>
      </c>
      <c r="C35" s="17">
        <v>60393</v>
      </c>
      <c r="D35" s="17">
        <v>348115</v>
      </c>
      <c r="E35" s="17">
        <v>195434</v>
      </c>
      <c r="F35" s="17">
        <v>929582</v>
      </c>
      <c r="G35" s="17">
        <v>665460</v>
      </c>
      <c r="H35" s="17">
        <v>478229</v>
      </c>
      <c r="I35" s="17">
        <v>317379</v>
      </c>
      <c r="J35" s="17">
        <v>872212</v>
      </c>
      <c r="K35" s="16"/>
      <c r="L35" s="17">
        <v>4426989</v>
      </c>
      <c r="M35" s="15" t="s">
        <v>10</v>
      </c>
      <c r="N35" s="17">
        <v>7407626</v>
      </c>
    </row>
    <row r="36" spans="1:14" x14ac:dyDescent="0.3">
      <c r="A36" s="15" t="s">
        <v>25</v>
      </c>
      <c r="B36" s="17">
        <v>1177576</v>
      </c>
      <c r="C36" s="17">
        <v>108470</v>
      </c>
      <c r="D36" s="17">
        <v>852909</v>
      </c>
      <c r="E36" s="17">
        <v>65760</v>
      </c>
      <c r="F36" s="17">
        <v>472512</v>
      </c>
      <c r="G36" s="17">
        <v>173117</v>
      </c>
      <c r="H36" s="17">
        <v>339304</v>
      </c>
      <c r="I36" s="17">
        <v>424207</v>
      </c>
      <c r="J36" s="17">
        <v>617084</v>
      </c>
      <c r="K36" s="16"/>
      <c r="L36" s="17">
        <v>4230939</v>
      </c>
      <c r="M36" s="15" t="s">
        <v>16</v>
      </c>
      <c r="N36" s="17">
        <v>5335250</v>
      </c>
    </row>
    <row r="37" spans="1:14" x14ac:dyDescent="0.3">
      <c r="A37" s="15" t="s">
        <v>9</v>
      </c>
      <c r="B37" s="17">
        <v>1010737</v>
      </c>
      <c r="C37" s="17">
        <v>646018</v>
      </c>
      <c r="D37" s="17">
        <v>558485</v>
      </c>
      <c r="E37" s="17">
        <v>930578</v>
      </c>
      <c r="F37" s="17">
        <v>592455</v>
      </c>
      <c r="G37" s="17">
        <v>449563</v>
      </c>
      <c r="H37" s="17">
        <v>684891</v>
      </c>
      <c r="I37" s="17">
        <v>457701</v>
      </c>
      <c r="J37" s="17">
        <v>287111</v>
      </c>
      <c r="K37" s="16"/>
      <c r="L37" s="17">
        <v>5617539</v>
      </c>
      <c r="M37" s="15" t="s">
        <v>26</v>
      </c>
      <c r="N37" s="17">
        <v>5729617</v>
      </c>
    </row>
    <row r="38" spans="1:14" x14ac:dyDescent="0.3">
      <c r="A38" s="15" t="s">
        <v>15</v>
      </c>
      <c r="B38" s="17">
        <v>859496</v>
      </c>
      <c r="C38" s="17">
        <v>879359</v>
      </c>
      <c r="D38" s="17">
        <v>331675</v>
      </c>
      <c r="E38" s="17">
        <v>781086</v>
      </c>
      <c r="F38" s="17">
        <v>604445</v>
      </c>
      <c r="G38" s="17">
        <v>561317</v>
      </c>
      <c r="H38" s="17">
        <v>353102</v>
      </c>
      <c r="I38" s="17">
        <v>526237</v>
      </c>
      <c r="J38" s="17">
        <v>488474</v>
      </c>
      <c r="K38" s="16"/>
      <c r="L38" s="17">
        <v>5385191</v>
      </c>
      <c r="M38" s="15" t="s">
        <v>7</v>
      </c>
      <c r="N38" s="17">
        <v>5302462</v>
      </c>
    </row>
    <row r="39" spans="1:14" x14ac:dyDescent="0.3">
      <c r="A39" s="15" t="s">
        <v>28</v>
      </c>
      <c r="B39" s="17">
        <v>217850</v>
      </c>
      <c r="C39" s="17">
        <v>499661</v>
      </c>
      <c r="D39" s="17">
        <v>947425</v>
      </c>
      <c r="E39" s="17">
        <v>739989</v>
      </c>
      <c r="F39" s="17">
        <v>562775</v>
      </c>
      <c r="G39" s="17">
        <v>479923</v>
      </c>
      <c r="H39" s="17">
        <v>356739</v>
      </c>
      <c r="I39" s="17">
        <v>727672</v>
      </c>
      <c r="J39" s="17">
        <v>432807</v>
      </c>
      <c r="K39" s="16"/>
      <c r="L39" s="17">
        <v>4964841</v>
      </c>
      <c r="M39" s="15" t="s">
        <v>13</v>
      </c>
      <c r="N39" s="17">
        <v>5324867</v>
      </c>
    </row>
    <row r="40" spans="1:14" x14ac:dyDescent="0.3">
      <c r="A40" s="15" t="s">
        <v>12</v>
      </c>
      <c r="B40" s="17">
        <v>531182</v>
      </c>
      <c r="C40" s="17">
        <v>235126</v>
      </c>
      <c r="D40" s="17">
        <v>649522</v>
      </c>
      <c r="E40" s="17">
        <v>188529</v>
      </c>
      <c r="F40" s="17">
        <v>515838</v>
      </c>
      <c r="G40" s="17">
        <v>475244</v>
      </c>
      <c r="H40" s="17">
        <v>415466</v>
      </c>
      <c r="I40" s="17">
        <v>533745</v>
      </c>
      <c r="J40" s="17">
        <v>391335</v>
      </c>
      <c r="K40" s="16"/>
      <c r="L40" s="17">
        <v>3935987</v>
      </c>
      <c r="M40" s="15" t="s">
        <v>19</v>
      </c>
      <c r="N40" s="17">
        <v>4762079</v>
      </c>
    </row>
    <row r="41" spans="1:14" x14ac:dyDescent="0.3">
      <c r="A41" s="15" t="s">
        <v>24</v>
      </c>
      <c r="B41" s="17">
        <v>1175653</v>
      </c>
      <c r="C41" s="17">
        <v>869637</v>
      </c>
      <c r="D41" s="17">
        <v>423378</v>
      </c>
      <c r="E41" s="17">
        <v>969937</v>
      </c>
      <c r="F41" s="17">
        <v>235466</v>
      </c>
      <c r="G41" s="17">
        <v>230161</v>
      </c>
      <c r="H41" s="17">
        <v>939566</v>
      </c>
      <c r="I41" s="17">
        <v>812445</v>
      </c>
      <c r="J41" s="17">
        <v>643352</v>
      </c>
      <c r="K41" s="16"/>
      <c r="L41" s="17">
        <v>6299595</v>
      </c>
      <c r="M41" s="15" t="s">
        <v>27</v>
      </c>
      <c r="N41" s="17">
        <v>6010467</v>
      </c>
    </row>
    <row r="42" spans="1:14" x14ac:dyDescent="0.3">
      <c r="A42" s="15" t="s">
        <v>31</v>
      </c>
      <c r="B42" s="17">
        <v>752561</v>
      </c>
      <c r="C42" s="17">
        <v>766482</v>
      </c>
      <c r="D42" s="17">
        <v>820608</v>
      </c>
      <c r="E42" s="17">
        <v>420908</v>
      </c>
      <c r="F42" s="17">
        <v>109876</v>
      </c>
      <c r="G42" s="17">
        <v>378390</v>
      </c>
      <c r="H42" s="17">
        <v>533859</v>
      </c>
      <c r="I42" s="17">
        <v>29385</v>
      </c>
      <c r="J42" s="17">
        <v>760811</v>
      </c>
      <c r="K42" s="16"/>
      <c r="L42" s="17">
        <v>4572880</v>
      </c>
      <c r="M42" s="15" t="s">
        <v>22</v>
      </c>
      <c r="N42" s="17">
        <v>5820489</v>
      </c>
    </row>
    <row r="43" spans="1:14" x14ac:dyDescent="0.3">
      <c r="A43" s="15" t="s">
        <v>6</v>
      </c>
      <c r="B43" s="17">
        <v>671402</v>
      </c>
      <c r="C43" s="17">
        <v>551759</v>
      </c>
      <c r="D43" s="17">
        <v>536736</v>
      </c>
      <c r="E43" s="17">
        <v>604327</v>
      </c>
      <c r="F43" s="17">
        <v>846265</v>
      </c>
      <c r="G43" s="17">
        <v>557728</v>
      </c>
      <c r="H43" s="17">
        <v>919954</v>
      </c>
      <c r="I43" s="17">
        <v>1064422</v>
      </c>
      <c r="J43" s="17">
        <v>770477</v>
      </c>
      <c r="K43" s="16"/>
      <c r="L43" s="17">
        <v>6523070</v>
      </c>
      <c r="M43" s="15" t="s">
        <v>34</v>
      </c>
      <c r="N43" s="18">
        <v>5634562</v>
      </c>
    </row>
    <row r="44" spans="1:14" x14ac:dyDescent="0.3">
      <c r="A44" s="15" t="s">
        <v>21</v>
      </c>
      <c r="B44" s="17">
        <v>450984</v>
      </c>
      <c r="C44" s="17">
        <v>718345</v>
      </c>
      <c r="D44" s="17">
        <v>260764</v>
      </c>
      <c r="E44" s="17">
        <v>405914</v>
      </c>
      <c r="F44" s="17">
        <v>455653</v>
      </c>
      <c r="G44" s="17">
        <v>791176</v>
      </c>
      <c r="H44" s="17">
        <v>989357</v>
      </c>
      <c r="I44" s="17">
        <v>927296</v>
      </c>
      <c r="J44" s="17">
        <v>370899</v>
      </c>
      <c r="K44" s="16"/>
      <c r="L44" s="17">
        <v>5370388</v>
      </c>
      <c r="M44" s="15" t="s">
        <v>38</v>
      </c>
      <c r="N44" s="18"/>
    </row>
    <row r="45" spans="1:14" x14ac:dyDescent="0.3">
      <c r="A45" s="15" t="s">
        <v>38</v>
      </c>
      <c r="B45" s="17"/>
      <c r="C45" s="17"/>
      <c r="D45" s="17"/>
      <c r="E45" s="17"/>
      <c r="F45" s="17"/>
      <c r="G45" s="17"/>
      <c r="H45" s="17"/>
      <c r="I45" s="17"/>
      <c r="J45" s="17"/>
      <c r="K45" s="16"/>
      <c r="L45" s="17"/>
      <c r="M45" s="15" t="s">
        <v>39</v>
      </c>
      <c r="N45" s="17">
        <v>51327419</v>
      </c>
    </row>
    <row r="46" spans="1:14" x14ac:dyDescent="0.3">
      <c r="A46" s="15" t="s">
        <v>39</v>
      </c>
      <c r="B46" s="17">
        <v>7407626</v>
      </c>
      <c r="C46" s="17">
        <v>5335250</v>
      </c>
      <c r="D46" s="17">
        <v>5729617</v>
      </c>
      <c r="E46" s="17">
        <v>5302462</v>
      </c>
      <c r="F46" s="17">
        <v>5324867</v>
      </c>
      <c r="G46" s="17">
        <v>4762079</v>
      </c>
      <c r="H46" s="17">
        <v>6010467</v>
      </c>
      <c r="I46" s="17">
        <v>5820489</v>
      </c>
      <c r="J46" s="17">
        <v>5634562</v>
      </c>
      <c r="K46" s="16"/>
      <c r="L46" s="17">
        <v>51327419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Inventory_Data</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cp:lastModifiedBy>
  <dcterms:created xsi:type="dcterms:W3CDTF">2026-05-18T13:19:13Z</dcterms:created>
  <dcterms:modified xsi:type="dcterms:W3CDTF">2026-06-06T17:03:00Z</dcterms:modified>
</cp:coreProperties>
</file>